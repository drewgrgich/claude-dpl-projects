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43240" windowHeight="25080" tabRatio="500" firstSheet="0" activeTab="3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fg Comparison" sheetId="3" state="visible" r:id="rId3"/>
    <sheet xmlns:r="http://schemas.openxmlformats.org/officeDocument/2006/relationships" name="Organic Growth Model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Kickstarters to watch" sheetId="6" state="visible" r:id="rId6"/>
    <sheet xmlns:r="http://schemas.openxmlformats.org/officeDocument/2006/relationships" name="Goats Comparison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\$#,##0.00"/>
    <numFmt numFmtId="165" formatCode="0.0%"/>
    <numFmt numFmtId="166" formatCode="0.0\x"/>
    <numFmt numFmtId="167" formatCode="\$#,##0.00;\(\$#,##0.00\);&quot;-&quot;"/>
    <numFmt numFmtId="168" formatCode="\$#,##0"/>
    <numFmt numFmtId="169" formatCode="\$#,##0;\(\$#,##0\);&quot;—&quot;"/>
    <numFmt numFmtId="170" formatCode="$#,##0"/>
    <numFmt numFmtId="171" formatCode="0.00x"/>
    <numFmt numFmtId="172" formatCode="$#,##0;($#,##0);&quot;—&quot;"/>
  </numFmts>
  <fonts count="26">
    <font>
      <name val="Arial"/>
      <charset val="1"/>
      <color rgb="FF000000"/>
      <sz val="10"/>
    </font>
    <font>
      <name val="Arial"/>
      <family val="2"/>
      <color theme="1"/>
      <sz val="11"/>
    </font>
    <font>
      <name val="Cambria"/>
      <family val="1"/>
      <b val="1"/>
      <color rgb="FF2E7D32"/>
      <sz val="11"/>
    </font>
    <font>
      <name val="Cambria"/>
      <family val="1"/>
      <b val="1"/>
      <color rgb="FFFFFFFF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sz val="10"/>
    </font>
    <font>
      <name val="Arial"/>
      <family val="2"/>
      <i val="1"/>
      <color rgb="FF666666"/>
      <sz val="10"/>
    </font>
    <font>
      <name val="Arial"/>
      <family val="2"/>
      <color rgb="FF999999"/>
      <sz val="9"/>
    </font>
    <font>
      <name val="Cambria"/>
      <family val="1"/>
      <b val="1"/>
      <color rgb="FF2E7D32"/>
      <sz val="10"/>
    </font>
    <font>
      <name val="Arial"/>
      <family val="2"/>
      <color rgb="FF666666"/>
      <sz val="8"/>
    </font>
    <font>
      <name val="Arial"/>
      <family val="2"/>
      <b val="1"/>
      <color rgb="FF2E7D32"/>
      <sz val="10"/>
    </font>
    <font>
      <name val="Arial"/>
      <family val="2"/>
      <b val="1"/>
      <color rgb="FF2E7D32"/>
      <sz val="11"/>
    </font>
    <font>
      <name val="Cambria"/>
      <family val="1"/>
      <color rgb="FF0000FF"/>
      <sz val="11"/>
      <u val="single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i val="1"/>
      <color rgb="FF808080"/>
      <sz val="9"/>
    </font>
    <font>
      <name val="Arial"/>
      <family val="2"/>
      <color rgb="FF000000"/>
      <sz val="10"/>
    </font>
    <font>
      <name val="Arial"/>
      <b val="1"/>
      <sz val="12"/>
    </font>
    <font>
      <name val="Arial"/>
      <i val="1"/>
      <color rgb="00808080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</fonts>
  <fills count="12">
    <fill>
      <patternFill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8E6C9"/>
        <bgColor rgb="FFE8F5E9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FFFF00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4C6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pivotButton="0" quotePrefix="0" xfId="0"/>
    <xf numFmtId="3" fontId="5" fillId="0" borderId="0" pivotButton="0" quotePrefix="0" xfId="0"/>
    <xf numFmtId="165" fontId="5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3" fontId="5" fillId="4" borderId="0" pivotButton="0" quotePrefix="0" xfId="0"/>
    <xf numFmtId="165" fontId="5" fillId="4" borderId="0" pivotButton="0" quotePrefix="0" xfId="0"/>
    <xf numFmtId="0" fontId="7" fillId="0" borderId="0" pivotButton="0" quotePrefix="0" xfId="0"/>
    <xf numFmtId="166" fontId="5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4" fillId="5" borderId="0" pivotButton="0" quotePrefix="0" xfId="0"/>
    <xf numFmtId="0" fontId="10" fillId="0" borderId="0" applyAlignment="1" pivotButton="0" quotePrefix="0" xfId="0">
      <alignment horizontal="center"/>
    </xf>
    <xf numFmtId="3" fontId="6" fillId="0" borderId="0" pivotButton="0" quotePrefix="0" xfId="0"/>
    <xf numFmtId="0" fontId="11" fillId="0" borderId="0" pivotButton="0" quotePrefix="0" xfId="0"/>
    <xf numFmtId="3" fontId="12" fillId="5" borderId="0" pivotButton="0" quotePrefix="0" xfId="0"/>
    <xf numFmtId="0" fontId="13" fillId="0" borderId="0" pivotButton="0" quotePrefix="0" xfId="0"/>
    <xf numFmtId="0" fontId="15" fillId="7" borderId="1" applyAlignment="1" pivotButton="0" quotePrefix="0" xfId="0">
      <alignment horizontal="center" wrapText="1"/>
    </xf>
    <xf numFmtId="0" fontId="16" fillId="0" borderId="1" pivotButton="0" quotePrefix="0" xfId="0"/>
    <xf numFmtId="0" fontId="17" fillId="8" borderId="1" pivotButton="0" quotePrefix="0" xfId="0"/>
    <xf numFmtId="164" fontId="17" fillId="8" borderId="1" pivotButton="0" quotePrefix="0" xfId="0"/>
    <xf numFmtId="0" fontId="17" fillId="0" borderId="1" pivotButton="0" quotePrefix="0" xfId="0"/>
    <xf numFmtId="0" fontId="15" fillId="0" borderId="0" pivotButton="0" quotePrefix="0" xfId="0"/>
    <xf numFmtId="165" fontId="17" fillId="8" borderId="0" pivotButton="0" quotePrefix="0" xfId="0"/>
    <xf numFmtId="0" fontId="18" fillId="0" borderId="0" pivotButton="0" quotePrefix="0" xfId="0"/>
    <xf numFmtId="0" fontId="15" fillId="7" borderId="1" pivotButton="0" quotePrefix="0" xfId="0"/>
    <xf numFmtId="0" fontId="19" fillId="0" borderId="1" pivotButton="0" quotePrefix="0" xfId="0"/>
    <xf numFmtId="164" fontId="19" fillId="0" borderId="1" pivotButton="0" quotePrefix="0" xfId="0"/>
    <xf numFmtId="167" fontId="19" fillId="0" borderId="1" pivotButton="0" quotePrefix="0" xfId="0"/>
    <xf numFmtId="168" fontId="16" fillId="0" borderId="1" pivotButton="0" quotePrefix="0" xfId="0"/>
    <xf numFmtId="3" fontId="19" fillId="0" borderId="1" pivotButton="0" quotePrefix="0" xfId="0"/>
    <xf numFmtId="169" fontId="19" fillId="0" borderId="1" pivotButton="0" quotePrefix="0" xfId="0"/>
    <xf numFmtId="164" fontId="19" fillId="0" borderId="0" pivotButton="0" quotePrefix="0" xfId="0"/>
    <xf numFmtId="0" fontId="16" fillId="0" borderId="0" pivotButton="0" quotePrefix="0" xfId="0"/>
    <xf numFmtId="0" fontId="14" fillId="6" borderId="0" applyAlignment="1" pivotButton="0" quotePrefix="0" xfId="0">
      <alignment horizontal="center"/>
    </xf>
    <xf numFmtId="0" fontId="0" fillId="0" borderId="0" pivotButton="0" quotePrefix="0" xfId="0"/>
    <xf numFmtId="0" fontId="14" fillId="6" borderId="0" pivotButton="0" quotePrefix="0" xfId="0"/>
    <xf numFmtId="0" fontId="2" fillId="0" borderId="0" pivotButton="0" quotePrefix="0" xfId="0"/>
    <xf numFmtId="0" fontId="20" fillId="9" borderId="0" applyAlignment="1" pivotButton="0" quotePrefix="0" xfId="0">
      <alignment horizontal="center"/>
    </xf>
    <xf numFmtId="0" fontId="21" fillId="0" borderId="0" pivotButton="0" quotePrefix="0" xfId="0"/>
    <xf numFmtId="0" fontId="22" fillId="9" borderId="0" pivotButton="0" quotePrefix="0" xfId="0"/>
    <xf numFmtId="0" fontId="23" fillId="0" borderId="2" pivotButton="0" quotePrefix="0" xfId="0"/>
    <xf numFmtId="170" fontId="24" fillId="0" borderId="2" pivotButton="0" quotePrefix="0" xfId="0"/>
    <xf numFmtId="165" fontId="25" fillId="10" borderId="2" pivotButton="0" quotePrefix="0" xfId="0"/>
    <xf numFmtId="0" fontId="25" fillId="10" borderId="2" pivotButton="0" quotePrefix="0" xfId="0"/>
    <xf numFmtId="0" fontId="22" fillId="11" borderId="2" applyAlignment="1" pivotButton="0" quotePrefix="0" xfId="0">
      <alignment horizontal="center" wrapText="1"/>
    </xf>
    <xf numFmtId="165" fontId="24" fillId="0" borderId="2" pivotButton="0" quotePrefix="0" xfId="0"/>
    <xf numFmtId="0" fontId="24" fillId="0" borderId="2" pivotButton="0" quotePrefix="0" xfId="0"/>
    <xf numFmtId="171" fontId="24" fillId="0" borderId="2" pivotButton="0" quotePrefix="0" xfId="0"/>
    <xf numFmtId="172" fontId="24" fillId="0" borderId="2" pivotButton="0" quotePrefix="0" xfId="0"/>
    <xf numFmtId="9" fontId="25" fillId="10" borderId="2" pivotButton="0" quotePrefix="0" xfId="0"/>
    <xf numFmtId="9" fontId="24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kickstarter.com/projects/thegoddesskey/inner-codes-arcana?ref=discovery_category&amp;total_hits=19939&amp;category_id=273" TargetMode="External" Id="rId1"/><Relationship Type="http://schemas.openxmlformats.org/officeDocument/2006/relationships/hyperlink" Target="https://www.kickstarter.com/projects/bigcomet/dinkduel?ref=discovery_category&amp;total_hits=19939&amp;category_id=34" TargetMode="External" Id="rId2"/><Relationship Type="http://schemas.openxmlformats.org/officeDocument/2006/relationships/hyperlink" Target="https://www.kickstarter.com/projects/geoffkern/rambo-ranch?ref=discovery_category&amp;total_hits=19939&amp;category_id=273" TargetMode="External" Id="rId3"/><Relationship Type="http://schemas.openxmlformats.org/officeDocument/2006/relationships/hyperlink" Target="https://www.kickstarter.com/projects/mintpanda/medieval-madness?ref=discovery_category&amp;total_hits=59982&amp;category_id=34" TargetMode="External" Id="rId4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P24"/>
  <sheetViews>
    <sheetView zoomScaleNormal="100" workbookViewId="0">
      <selection activeCell="A1" sqref="A1"/>
    </sheetView>
  </sheetViews>
  <sheetFormatPr baseColWidth="10" defaultColWidth="12.6640625" defaultRowHeight="15.75" customHeight="1"/>
  <cols>
    <col width="10.83203125" customWidth="1" style="40" min="1" max="1"/>
    <col width="30.1640625" customWidth="1" style="40" min="2" max="2"/>
    <col width="19.1640625" customWidth="1" style="40" min="3" max="3"/>
    <col width="3.6640625" customWidth="1" style="40" min="4" max="4"/>
    <col width="7.83203125" customWidth="1" style="40" min="5" max="5"/>
    <col width="11.5" customWidth="1" style="40" min="6" max="6"/>
    <col width="4.6640625" customWidth="1" style="40" min="7" max="8"/>
    <col width="5.6640625" customWidth="1" style="40" min="9" max="9"/>
    <col width="30.1640625" customWidth="1" style="40" min="10" max="10"/>
    <col width="14" customWidth="1" style="40" min="11" max="11"/>
    <col width="13.6640625" customWidth="1" style="40" min="12" max="12"/>
    <col width="14.83203125" customWidth="1" style="40" min="13" max="13"/>
    <col width="10.83203125" customWidth="1" style="40" min="14" max="27"/>
  </cols>
  <sheetData>
    <row r="1" ht="15.75" customHeight="1" s="40">
      <c r="A1" s="1" t="inlineStr">
        <is>
          <t>Category</t>
        </is>
      </c>
      <c r="B1" s="1" t="inlineStr">
        <is>
          <t>Line Item</t>
        </is>
      </c>
      <c r="C1" s="1" t="inlineStr">
        <is>
          <t>Timing (Pre/During/Post)</t>
        </is>
      </c>
      <c r="D1" s="1" t="inlineStr">
        <is>
          <t>Qty</t>
        </is>
      </c>
      <c r="E1" s="1" t="inlineStr">
        <is>
          <t>Unit Cost</t>
        </is>
      </c>
      <c r="F1" s="1" t="inlineStr">
        <is>
          <t>Fixed/Variable</t>
        </is>
      </c>
      <c r="G1" s="1" t="inlineStr">
        <is>
          <t>Low</t>
        </is>
      </c>
      <c r="H1" s="1" t="inlineStr">
        <is>
          <t>Mid</t>
        </is>
      </c>
      <c r="I1" s="1" t="inlineStr">
        <is>
          <t>High</t>
        </is>
      </c>
      <c r="J1" s="1" t="inlineStr">
        <is>
          <t>Notes</t>
        </is>
      </c>
      <c r="K1" s="1" t="inlineStr">
        <is>
          <t>Pre-launch Low $</t>
        </is>
      </c>
      <c r="L1" s="1" t="inlineStr">
        <is>
          <t>Pre-launch Mid $</t>
        </is>
      </c>
      <c r="M1" s="1" t="inlineStr">
        <is>
          <t>Pre-Launch High $</t>
        </is>
      </c>
    </row>
    <row r="2" ht="15.75" customHeight="1" s="40">
      <c r="A2" s="1" t="inlineStr">
        <is>
          <t>ART</t>
        </is>
      </c>
      <c r="B2" s="1" t="inlineStr">
        <is>
          <t>Danny Beck fixed deliverables</t>
        </is>
      </c>
      <c r="C2" s="1" t="inlineStr">
        <is>
          <t>Pre</t>
        </is>
      </c>
      <c r="D2" s="1" t="n">
        <v>1</v>
      </c>
      <c r="F2" s="1" t="inlineStr">
        <is>
          <t>Fixed</t>
        </is>
      </c>
      <c r="G2" s="1" t="n">
        <v>5400</v>
      </c>
      <c r="H2" s="1" t="n">
        <v>5400</v>
      </c>
      <c r="I2" s="1" t="n">
        <v>5400</v>
      </c>
      <c r="J2" s="1" t="inlineStr">
        <is>
          <t>Per term sheet fixed cash total</t>
        </is>
      </c>
      <c r="K2" s="1">
        <f>IF($C2&lt;&gt;"Pre",0,$D2*$G2)</f>
        <v/>
      </c>
      <c r="L2" s="1">
        <f>IF($C2&lt;&gt;"Pre",0,$D2*$H2)</f>
        <v/>
      </c>
      <c r="M2" s="1">
        <f>IF($C2&lt;&gt;"Pre",0,$D2*$I2)</f>
        <v/>
      </c>
    </row>
    <row r="3" ht="15.75" customHeight="1" s="40">
      <c r="A3" s="1" t="inlineStr">
        <is>
          <t>ART</t>
        </is>
      </c>
      <c r="B3" s="1" t="inlineStr">
        <is>
          <t>Landing page art + logo (est)</t>
        </is>
      </c>
      <c r="C3" s="1" t="inlineStr">
        <is>
          <t>Pre</t>
        </is>
      </c>
      <c r="D3" s="1" t="n">
        <v>1</v>
      </c>
      <c r="F3" s="1" t="inlineStr">
        <is>
          <t>Fixed</t>
        </is>
      </c>
      <c r="G3" s="1" t="n">
        <v>300</v>
      </c>
      <c r="H3" s="1" t="n">
        <v>450</v>
      </c>
      <c r="I3" s="1" t="n">
        <v>700</v>
      </c>
      <c r="J3" s="1" t="inlineStr">
        <is>
          <t>TBD in definitive agreement</t>
        </is>
      </c>
      <c r="K3" s="1">
        <f>IF($C3&lt;&gt;"Pre",0,$D3*$G3)</f>
        <v/>
      </c>
      <c r="L3" s="1">
        <f>IF($C3&lt;&gt;"Pre",0,$D3*$H3)</f>
        <v/>
      </c>
      <c r="M3" s="1">
        <f>IF($C3&lt;&gt;"Pre",0,$D3*$I3)</f>
        <v/>
      </c>
    </row>
    <row r="4" ht="15.75" customHeight="1" s="40">
      <c r="A4" s="1" t="inlineStr">
        <is>
          <t>ART</t>
        </is>
      </c>
      <c r="B4" s="1" t="inlineStr">
        <is>
          <t>Success bonus (conditional)</t>
        </is>
      </c>
      <c r="C4" s="1" t="inlineStr">
        <is>
          <t>Post</t>
        </is>
      </c>
      <c r="D4" s="1" t="n">
        <v>1</v>
      </c>
      <c r="F4" s="1" t="inlineStr">
        <is>
          <t>Conditional</t>
        </is>
      </c>
      <c r="G4" s="1" t="n">
        <v>0</v>
      </c>
      <c r="H4" s="1" t="n">
        <v>2000</v>
      </c>
      <c r="I4" s="1" t="n">
        <v>2000</v>
      </c>
      <c r="J4" s="1" t="inlineStr">
        <is>
          <t>Only if KS &gt;= $75k gross</t>
        </is>
      </c>
      <c r="K4" s="1">
        <f>IF($C4&lt;&gt;"Pre",0,$D4*$G4)</f>
        <v/>
      </c>
      <c r="L4" s="1">
        <f>IF($C4&lt;&gt;"Pre",0,$D4*$H4)</f>
        <v/>
      </c>
      <c r="M4" s="1">
        <f>IF($C4&lt;&gt;"Pre",0,$D4*$I4)</f>
        <v/>
      </c>
    </row>
    <row r="5" ht="15.75" customHeight="1" s="40">
      <c r="A5" s="1" t="inlineStr">
        <is>
          <t>LEGAL</t>
        </is>
      </c>
      <c r="B5" s="1" t="inlineStr">
        <is>
          <t>Contract/legal review</t>
        </is>
      </c>
      <c r="C5" s="1" t="inlineStr">
        <is>
          <t>Pre</t>
        </is>
      </c>
      <c r="D5" s="1" t="n">
        <v>1</v>
      </c>
      <c r="F5" s="1" t="inlineStr">
        <is>
          <t>Fixed</t>
        </is>
      </c>
      <c r="G5" s="1" t="n">
        <v>1500</v>
      </c>
      <c r="H5" s="1" t="n">
        <v>2250</v>
      </c>
      <c r="I5" s="1" t="n">
        <v>2250</v>
      </c>
      <c r="J5" s="1" t="inlineStr">
        <is>
          <t>UpCounsel quotes $1,500-2,250 for licensing/work-for-hire agreement (Drew's attorney drafts; Danny's $750 stipend covers his attorney's review)</t>
        </is>
      </c>
      <c r="K5" s="1">
        <f>IF($C5&lt;&gt;"Pre",0,$D5*$G5)</f>
        <v/>
      </c>
      <c r="L5" s="1">
        <f>IF($C5&lt;&gt;"Pre",0,$D5*$H5)</f>
        <v/>
      </c>
      <c r="M5" s="1">
        <f>IF($C5&lt;&gt;"Pre",0,$D5*$I5)</f>
        <v/>
      </c>
    </row>
    <row r="6" ht="15.75" customHeight="1" s="40">
      <c r="A6" s="1" t="inlineStr">
        <is>
          <t>DESIGN</t>
        </is>
      </c>
      <c r="B6" s="1" t="inlineStr">
        <is>
          <t>Prototype Decks</t>
        </is>
      </c>
      <c r="C6" s="1" t="inlineStr">
        <is>
          <t>Pre</t>
        </is>
      </c>
      <c r="D6" s="1" t="n">
        <v>1</v>
      </c>
      <c r="F6" s="1" t="inlineStr">
        <is>
          <t>Fixed</t>
        </is>
      </c>
      <c r="G6" s="1" t="n">
        <v>255</v>
      </c>
      <c r="H6" s="1" t="n">
        <v>255</v>
      </c>
      <c r="I6" s="1" t="n">
        <v>360</v>
      </c>
      <c r="J6" s="1" t="inlineStr">
        <is>
          <t>Icons deck + 5 promo decks @ $30 ea for blind playtests/influencers</t>
        </is>
      </c>
      <c r="K6" s="1">
        <f>IF($C6&lt;&gt;"Pre",0,$D6*$G6)</f>
        <v/>
      </c>
      <c r="L6" s="1">
        <f>IF($C6&lt;&gt;"Pre",0,$D6*$H6)</f>
        <v/>
      </c>
      <c r="M6" s="1">
        <f>IF($C6&lt;&gt;"Pre",0,$D6*$I6)</f>
        <v/>
      </c>
    </row>
    <row r="7" ht="15.75" customHeight="1" s="40">
      <c r="A7" s="1" t="inlineStr">
        <is>
          <t>DESIGN</t>
        </is>
      </c>
      <c r="B7" s="1" t="inlineStr">
        <is>
          <t>Rulebook layout</t>
        </is>
      </c>
      <c r="C7" s="1" t="inlineStr">
        <is>
          <t>Pre</t>
        </is>
      </c>
      <c r="D7" s="1" t="n">
        <v>1</v>
      </c>
      <c r="F7" s="1" t="inlineStr">
        <is>
          <t>Fixed</t>
        </is>
      </c>
      <c r="G7" s="1" t="n">
        <v>800</v>
      </c>
      <c r="H7" s="1" t="n">
        <v>1500</v>
      </c>
      <c r="I7" s="1" t="n">
        <v>2500</v>
      </c>
      <c r="J7" s="1" t="inlineStr">
        <is>
          <t>InDesign package + print PDF</t>
        </is>
      </c>
      <c r="K7" s="1">
        <f>IF($C7&lt;&gt;"Pre",0,$D7*$G7)</f>
        <v/>
      </c>
      <c r="L7" s="1">
        <f>IF($C7&lt;&gt;"Pre",0,$D7*$H7)</f>
        <v/>
      </c>
      <c r="M7" s="1">
        <f>IF($C7&lt;&gt;"Pre",0,$D7*$I7)</f>
        <v/>
      </c>
    </row>
    <row r="8" ht="15.75" customHeight="1" s="40">
      <c r="A8" s="1" t="inlineStr">
        <is>
          <t>EDITOR</t>
        </is>
      </c>
      <c r="B8" s="1" t="inlineStr">
        <is>
          <t>Rulebook edit</t>
        </is>
      </c>
      <c r="C8" s="1" t="inlineStr">
        <is>
          <t>Pre</t>
        </is>
      </c>
      <c r="D8" s="1" t="n">
        <v>1</v>
      </c>
      <c r="F8" s="1" t="inlineStr">
        <is>
          <t>Fixed</t>
        </is>
      </c>
      <c r="G8" s="1" t="n">
        <v>300</v>
      </c>
      <c r="H8" s="1" t="n">
        <v>900</v>
      </c>
      <c r="I8" s="1" t="n">
        <v>2000</v>
      </c>
      <c r="J8" s="1" t="inlineStr">
        <is>
          <t>Copyedit vs developmental</t>
        </is>
      </c>
      <c r="K8" s="1">
        <f>IF($C8&lt;&gt;"Pre",0,$D8*$G8)</f>
        <v/>
      </c>
      <c r="L8" s="1">
        <f>IF($C8&lt;&gt;"Pre",0,$D8*$H8)</f>
        <v/>
      </c>
      <c r="M8" s="1">
        <f>IF($C8&lt;&gt;"Pre",0,$D8*$I8)</f>
        <v/>
      </c>
    </row>
    <row r="9" ht="15.75" customHeight="1" s="40">
      <c r="A9" s="1" t="inlineStr">
        <is>
          <t>MARKETING</t>
        </is>
      </c>
      <c r="B9" s="1" t="inlineStr">
        <is>
          <t>Paid ads total</t>
        </is>
      </c>
      <c r="C9" s="1" t="inlineStr">
        <is>
          <t>During</t>
        </is>
      </c>
      <c r="D9" s="1" t="n">
        <v>1</v>
      </c>
      <c r="F9" s="1" t="inlineStr">
        <is>
          <t>Variable</t>
        </is>
      </c>
      <c r="G9" s="1" t="n">
        <v>3000</v>
      </c>
      <c r="H9" s="1" t="n">
        <v>6000</v>
      </c>
      <c r="I9" s="1" t="n">
        <v>10000</v>
      </c>
      <c r="J9" s="1" t="inlineStr">
        <is>
          <t>Range from launch plan</t>
        </is>
      </c>
      <c r="K9" s="1">
        <f>IF($C9&lt;&gt;"Pre",0,$D9*$G9)</f>
        <v/>
      </c>
      <c r="L9" s="1">
        <f>IF($C9&lt;&gt;"Pre",0,$D9*$H9)</f>
        <v/>
      </c>
      <c r="M9" s="1">
        <f>IF($C9&lt;&gt;"Pre",0,$D9*$I9)</f>
        <v/>
      </c>
    </row>
    <row r="10" ht="15.75" customHeight="1" s="40">
      <c r="A10" s="1" t="inlineStr">
        <is>
          <t>MARKETING</t>
        </is>
      </c>
      <c r="B10" s="1" t="inlineStr">
        <is>
          <t>Influencers/previewers</t>
        </is>
      </c>
      <c r="C10" s="1" t="inlineStr">
        <is>
          <t>Pre</t>
        </is>
      </c>
      <c r="D10" s="1" t="n">
        <v>1</v>
      </c>
      <c r="F10" s="1" t="inlineStr">
        <is>
          <t>Variable</t>
        </is>
      </c>
      <c r="G10" s="1" t="n">
        <v>0</v>
      </c>
      <c r="H10" s="1" t="n">
        <v>500</v>
      </c>
      <c r="I10" s="1" t="n">
        <v>2000</v>
      </c>
      <c r="J10" s="1" t="inlineStr">
        <is>
          <t>Review copies + fees</t>
        </is>
      </c>
      <c r="K10" s="1">
        <f>IF($C10&lt;&gt;"Pre",0,$D10*$G10)</f>
        <v/>
      </c>
      <c r="L10" s="1">
        <f>IF($C10&lt;&gt;"Pre",0,$D10*$H10)</f>
        <v/>
      </c>
      <c r="M10" s="1">
        <f>IF($C10&lt;&gt;"Pre",0,$D10*$I10)</f>
        <v/>
      </c>
    </row>
    <row r="11" ht="15.75" customHeight="1" s="40">
      <c r="A11" s="1" t="inlineStr">
        <is>
          <t>CONTENT</t>
        </is>
      </c>
      <c r="B11" s="1" t="inlineStr">
        <is>
          <t>Photography</t>
        </is>
      </c>
      <c r="C11" s="1" t="inlineStr">
        <is>
          <t>Pre</t>
        </is>
      </c>
      <c r="D11" s="1" t="n">
        <v>1</v>
      </c>
      <c r="F11" s="1" t="inlineStr">
        <is>
          <t>Fixed</t>
        </is>
      </c>
      <c r="G11" s="1" t="n">
        <v>200</v>
      </c>
      <c r="H11" s="1" t="n">
        <v>500</v>
      </c>
      <c r="I11" s="1" t="n">
        <v>1000</v>
      </c>
      <c r="J11" s="1" t="inlineStr">
        <is>
          <t>Product shots for KS page</t>
        </is>
      </c>
      <c r="K11" s="1">
        <f>IF($C11&lt;&gt;"Pre",0,$D11*$G11)</f>
        <v/>
      </c>
      <c r="L11" s="1">
        <f>IF($C11&lt;&gt;"Pre",0,$D11*$H11)</f>
        <v/>
      </c>
      <c r="M11" s="1">
        <f>IF($C11&lt;&gt;"Pre",0,$D11*$I11)</f>
        <v/>
      </c>
    </row>
    <row r="12" ht="15.75" customHeight="1" s="40">
      <c r="A12" s="1" t="inlineStr">
        <is>
          <t>CONTENT</t>
        </is>
      </c>
      <c r="B12" s="1" t="inlineStr">
        <is>
          <t>Video/trailer</t>
        </is>
      </c>
      <c r="C12" s="1" t="inlineStr">
        <is>
          <t>Pre</t>
        </is>
      </c>
      <c r="D12" s="1" t="n">
        <v>1</v>
      </c>
      <c r="F12" s="1" t="inlineStr">
        <is>
          <t>Fixed</t>
        </is>
      </c>
      <c r="G12" s="1" t="n">
        <v>0</v>
      </c>
      <c r="H12" s="1" t="n">
        <v>800</v>
      </c>
      <c r="I12" s="1" t="n">
        <v>3000</v>
      </c>
      <c r="J12" s="1" t="inlineStr">
        <is>
          <t>DIY vs hired</t>
        </is>
      </c>
      <c r="K12" s="1">
        <f>IF($C12&lt;&gt;"Pre",0,$D12*$G12)</f>
        <v/>
      </c>
      <c r="L12" s="1">
        <f>IF($C12&lt;&gt;"Pre",0,$D12*$H12)</f>
        <v/>
      </c>
      <c r="M12" s="1">
        <f>IF($C12&lt;&gt;"Pre",0,$D12*$I12)</f>
        <v/>
      </c>
    </row>
    <row r="13" ht="15.75" customHeight="1" s="40">
      <c r="A13" s="1" t="inlineStr">
        <is>
          <t>WEB</t>
        </is>
      </c>
      <c r="B13" s="1" t="inlineStr">
        <is>
          <t>Domain</t>
        </is>
      </c>
      <c r="C13" s="1" t="inlineStr">
        <is>
          <t>Pre</t>
        </is>
      </c>
      <c r="D13" s="1" t="n">
        <v>1</v>
      </c>
      <c r="F13" s="1" t="inlineStr">
        <is>
          <t>Fixed</t>
        </is>
      </c>
      <c r="G13" s="1" t="n">
        <v>15</v>
      </c>
      <c r="H13" s="1" t="n">
        <v>20</v>
      </c>
      <c r="I13" s="1" t="n">
        <v>25</v>
      </c>
      <c r="J13" s="1" t="inlineStr">
        <is>
          <t>Annual</t>
        </is>
      </c>
      <c r="K13" s="1">
        <f>IF($C13&lt;&gt;"Pre",0,$D13*$G13)</f>
        <v/>
      </c>
      <c r="L13" s="1">
        <f>IF($C13&lt;&gt;"Pre",0,$D13*$H13)</f>
        <v/>
      </c>
      <c r="M13" s="1">
        <f>IF($C13&lt;&gt;"Pre",0,$D13*$I13)</f>
        <v/>
      </c>
      <c r="P13" s="1" t="inlineStr">
        <is>
          <t>"Shill bidders" to make day one pop.</t>
        </is>
      </c>
    </row>
    <row r="14" ht="15.75" customHeight="1" s="40">
      <c r="A14" s="1" t="inlineStr">
        <is>
          <t>WEB</t>
        </is>
      </c>
      <c r="B14" s="1" t="inlineStr">
        <is>
          <t>Website hosting/platform</t>
        </is>
      </c>
      <c r="C14" s="1" t="inlineStr">
        <is>
          <t>Pre</t>
        </is>
      </c>
      <c r="D14" s="1" t="n">
        <v>3</v>
      </c>
      <c r="F14" s="1" t="inlineStr">
        <is>
          <t>Fixed</t>
        </is>
      </c>
      <c r="G14" s="1" t="n">
        <v>10</v>
      </c>
      <c r="H14" s="1" t="n">
        <v>20</v>
      </c>
      <c r="I14" s="1" t="n">
        <v>30</v>
      </c>
      <c r="J14" s="1" t="inlineStr">
        <is>
          <t>Monthly x 12</t>
        </is>
      </c>
      <c r="K14" s="1">
        <f>IF($C14&lt;&gt;"Pre",0,$D14*$G14)</f>
        <v/>
      </c>
      <c r="L14" s="1">
        <f>IF($C14&lt;&gt;"Pre",0,$D14*$H14)</f>
        <v/>
      </c>
      <c r="M14" s="1">
        <f>IF($C14&lt;&gt;"Pre",0,$D14*$I14)</f>
        <v/>
      </c>
    </row>
    <row r="15" ht="15.75" customHeight="1" s="40">
      <c r="A15" s="1" t="inlineStr">
        <is>
          <t>WEB</t>
        </is>
      </c>
      <c r="B15" s="1" t="inlineStr">
        <is>
          <t>Landing page tool</t>
        </is>
      </c>
      <c r="C15" s="1" t="inlineStr">
        <is>
          <t>Pre</t>
        </is>
      </c>
      <c r="D15" s="1" t="n">
        <v>4</v>
      </c>
      <c r="F15" s="1" t="inlineStr">
        <is>
          <t>Fixed</t>
        </is>
      </c>
      <c r="G15" s="1" t="n">
        <v>0</v>
      </c>
      <c r="H15" s="1" t="n">
        <v>15</v>
      </c>
      <c r="I15" s="1" t="n">
        <v>30</v>
      </c>
      <c r="J15" s="1" t="inlineStr">
        <is>
          <t>Could be included with site/email tool</t>
        </is>
      </c>
      <c r="K15" s="1">
        <f>IF($C15&lt;&gt;"Pre",0,$D15*$G15)</f>
        <v/>
      </c>
      <c r="L15" s="1">
        <f>IF($C15&lt;&gt;"Pre",0,$D15*$H15)</f>
        <v/>
      </c>
      <c r="M15" s="1">
        <f>IF($C15&lt;&gt;"Pre",0,$D15*$I15)</f>
        <v/>
      </c>
    </row>
    <row r="16" ht="15.75" customHeight="1" s="40">
      <c r="A16" s="1" t="inlineStr">
        <is>
          <t>EMAIL</t>
        </is>
      </c>
      <c r="B16" s="1" t="inlineStr">
        <is>
          <t>Email platform</t>
        </is>
      </c>
      <c r="C16" s="1" t="inlineStr">
        <is>
          <t>Pre</t>
        </is>
      </c>
      <c r="D16" s="1" t="n">
        <v>3</v>
      </c>
      <c r="F16" s="1" t="inlineStr">
        <is>
          <t>Fixed</t>
        </is>
      </c>
      <c r="G16" s="1" t="n">
        <v>0</v>
      </c>
      <c r="H16" s="1" t="n">
        <v>20</v>
      </c>
      <c r="I16" s="1" t="n">
        <v>60</v>
      </c>
      <c r="J16" s="1" t="inlineStr">
        <is>
          <t>Scales with list size</t>
        </is>
      </c>
      <c r="K16" s="1">
        <f>IF($C16&lt;&gt;"Pre",0,$D16*$G16)</f>
        <v/>
      </c>
      <c r="L16" s="1">
        <f>IF($C16&lt;&gt;"Pre",0,$D16*$H16)</f>
        <v/>
      </c>
      <c r="M16" s="1">
        <f>IF($C16&lt;&gt;"Pre",0,$D16*$I16)</f>
        <v/>
      </c>
    </row>
    <row r="17" ht="15.75" customHeight="1" s="40">
      <c r="A17" s="1" t="inlineStr">
        <is>
          <t>MARKETING</t>
        </is>
      </c>
      <c r="B17" s="1" t="inlineStr">
        <is>
          <t>Giveaway/prize + shipping (smoke test)</t>
        </is>
      </c>
      <c r="C17" s="1" t="inlineStr">
        <is>
          <t>Pre</t>
        </is>
      </c>
      <c r="D17" s="1" t="n">
        <v>1</v>
      </c>
      <c r="F17" s="1" t="inlineStr">
        <is>
          <t>Fixed</t>
        </is>
      </c>
      <c r="G17" s="1" t="n">
        <v>200</v>
      </c>
      <c r="H17" s="1" t="n">
        <v>200</v>
      </c>
      <c r="I17" s="1" t="n">
        <v>200</v>
      </c>
      <c r="J17" s="1" t="inlineStr">
        <is>
          <t>Need something to juice the smoke test</t>
        </is>
      </c>
      <c r="K17" s="1">
        <f>IF($C17&lt;&gt;"Pre",0,$D17*$G17)</f>
        <v/>
      </c>
      <c r="L17" s="1">
        <f>IF($C17&lt;&gt;"Pre",0,$D17*$H17)</f>
        <v/>
      </c>
      <c r="M17" s="1">
        <f>IF($C17&lt;&gt;"Pre",0,$D17*$I17)</f>
        <v/>
      </c>
    </row>
    <row r="18" ht="15.75" customHeight="1" s="40">
      <c r="A18" s="1" t="inlineStr">
        <is>
          <t>BUFFER</t>
        </is>
      </c>
      <c r="B18" s="1" t="inlineStr">
        <is>
          <t>In case shit</t>
        </is>
      </c>
      <c r="C18" s="1" t="inlineStr">
        <is>
          <t>Pre</t>
        </is>
      </c>
      <c r="D18" s="1" t="n">
        <v>1</v>
      </c>
      <c r="F18" s="1" t="inlineStr">
        <is>
          <t>Fixed</t>
        </is>
      </c>
      <c r="G18" s="1" t="n">
        <v>1500</v>
      </c>
      <c r="H18" s="1" t="n">
        <v>1500</v>
      </c>
      <c r="I18" s="1" t="n">
        <v>1500</v>
      </c>
      <c r="J18" s="1" t="inlineStr">
        <is>
          <t>In Case Shit</t>
        </is>
      </c>
      <c r="K18" s="1">
        <f>IF($C18&lt;&gt;"Pre",0,$D18*$G18)</f>
        <v/>
      </c>
      <c r="L18" s="1">
        <f>IF($C18&lt;&gt;"Pre",0,$D18*$H18)</f>
        <v/>
      </c>
      <c r="M18" s="1">
        <f>IF($C18&lt;&gt;"Pre",0,$D18*$I18)</f>
        <v/>
      </c>
    </row>
    <row r="19" ht="15.75" customHeight="1" s="40">
      <c r="A19" s="1" t="inlineStr">
        <is>
          <t>CONTENT</t>
        </is>
      </c>
      <c r="B19" s="1" t="inlineStr">
        <is>
          <t>Video Capture kit</t>
        </is>
      </c>
      <c r="C19" s="1" t="inlineStr">
        <is>
          <t>Pre</t>
        </is>
      </c>
      <c r="D19" s="1" t="n">
        <v>1</v>
      </c>
      <c r="F19" s="1" t="inlineStr">
        <is>
          <t>Fixed</t>
        </is>
      </c>
      <c r="G19" s="1" t="n">
        <v>150</v>
      </c>
      <c r="H19" s="1" t="n">
        <v>350</v>
      </c>
      <c r="I19" s="1" t="n">
        <v>900</v>
      </c>
      <c r="J19" s="1" t="inlineStr">
        <is>
          <t>Audio/Light/Tripod</t>
        </is>
      </c>
      <c r="K19" s="1">
        <f>IF($C19&lt;&gt;"Pre",0,$D19*$G19)</f>
        <v/>
      </c>
      <c r="L19" s="1">
        <f>IF($C19&lt;&gt;"Pre",0,$D19*$H19)</f>
        <v/>
      </c>
      <c r="M19" s="1">
        <f>IF($C19&lt;&gt;"Pre",0,$D19*$I19)</f>
        <v/>
      </c>
    </row>
    <row r="20" ht="15.75" customHeight="1" s="40">
      <c r="A20" s="1" t="inlineStr">
        <is>
          <t>CONTENT</t>
        </is>
      </c>
      <c r="B20" s="1" t="inlineStr">
        <is>
          <t>Kickstarter Video Support</t>
        </is>
      </c>
      <c r="C20" s="1" t="inlineStr">
        <is>
          <t>Pre</t>
        </is>
      </c>
      <c r="D20" s="1" t="n">
        <v>1</v>
      </c>
      <c r="F20" s="1" t="inlineStr">
        <is>
          <t>Fixed</t>
        </is>
      </c>
      <c r="G20" s="1" t="n">
        <v>1000</v>
      </c>
      <c r="H20" s="1" t="n">
        <v>1500</v>
      </c>
      <c r="I20" s="1" t="n">
        <v>3000</v>
      </c>
      <c r="K20" s="1">
        <f>IF($C20&lt;&gt;"Pre",0,$D20*$G20)</f>
        <v/>
      </c>
      <c r="L20" s="1">
        <f>IF($C20&lt;&gt;"Pre",0,$D20*$H20)</f>
        <v/>
      </c>
      <c r="M20" s="1">
        <f>IF($C20&lt;&gt;"Pre",0,$D20*$I20)</f>
        <v/>
      </c>
    </row>
    <row r="21" ht="15.75" customHeight="1" s="40">
      <c r="A21" t="inlineStr">
        <is>
          <t>SOFTWARE</t>
        </is>
      </c>
      <c r="B21" t="inlineStr">
        <is>
          <t>Claude Max (AI project support)</t>
        </is>
      </c>
      <c r="C21" t="inlineStr">
        <is>
          <t>Pre</t>
        </is>
      </c>
      <c r="D21" t="n">
        <v>1</v>
      </c>
      <c r="E21" t="n">
        <v>100</v>
      </c>
      <c r="F21" t="inlineStr">
        <is>
          <t>Fixed</t>
        </is>
      </c>
      <c r="G21" t="n">
        <v>700</v>
      </c>
      <c r="H21" t="n">
        <v>700</v>
      </c>
      <c r="I21" t="n">
        <v>700</v>
      </c>
      <c r="J21" t="inlineStr">
        <is>
          <t>$100/mo x 7 months (Feb-Aug)</t>
        </is>
      </c>
      <c r="K21">
        <f>IF($C21&lt;&gt;"Pre",0,$D21*$G21)</f>
        <v/>
      </c>
      <c r="L21">
        <f>IF($C21&lt;&gt;"Pre",0,$D21*$H21)</f>
        <v/>
      </c>
      <c r="M21">
        <f>IF($C21&lt;&gt;"Pre",0,$D21*$I21)</f>
        <v/>
      </c>
    </row>
    <row r="22" ht="15.75" customHeight="1" s="40">
      <c r="A22" s="1" t="inlineStr">
        <is>
          <t>INSURANCE</t>
        </is>
      </c>
      <c r="B22" s="1" t="inlineStr">
        <is>
          <t>Commercial General Liability</t>
        </is>
      </c>
      <c r="C22" s="1" t="inlineStr">
        <is>
          <t>Post</t>
        </is>
      </c>
      <c r="D22" s="1" t="n">
        <v>1</v>
      </c>
      <c r="F22" s="1" t="inlineStr">
        <is>
          <t>Variable</t>
        </is>
      </c>
      <c r="G22" s="1" t="n">
        <v>400</v>
      </c>
      <c r="H22" s="1" t="n">
        <v>1200</v>
      </c>
      <c r="I22" s="1" t="n">
        <v>3000</v>
      </c>
      <c r="K22" s="1">
        <f>IF($C22&lt;&gt;"Pre",0,$D22*$G22)</f>
        <v/>
      </c>
      <c r="L22" s="1">
        <f>IF($C22&lt;&gt;"Pre",0,$D22*$H22)</f>
        <v/>
      </c>
      <c r="M22" s="1">
        <f>IF($C22&lt;&gt;"Pre",0,$D22*$I22)</f>
        <v/>
      </c>
    </row>
    <row r="23" ht="15.75" customHeight="1" s="40">
      <c r="A23" s="1" t="n"/>
    </row>
    <row r="24" ht="14" customHeight="1" s="40">
      <c r="A24" s="1" t="inlineStr">
        <is>
          <t>Current Sum</t>
        </is>
      </c>
      <c r="K24" s="1">
        <f>SUM(K2:K22)</f>
        <v/>
      </c>
      <c r="L24" s="1">
        <f>SUM(L2:L22)</f>
        <v/>
      </c>
      <c r="M24" s="1">
        <f>SUM(M2:M22)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9"/>
  <sheetViews>
    <sheetView zoomScaleNormal="100" workbookViewId="0">
      <selection activeCell="B15" sqref="B15"/>
    </sheetView>
  </sheetViews>
  <sheetFormatPr baseColWidth="10" defaultColWidth="12.6640625" defaultRowHeight="15.75" customHeight="1"/>
  <cols>
    <col width="25.6640625" customWidth="1" style="40" min="1" max="1"/>
    <col width="13.1640625" customWidth="1" style="40" min="2" max="2"/>
  </cols>
  <sheetData>
    <row r="1" ht="15.75" customHeight="1" s="40">
      <c r="A1" s="1" t="inlineStr">
        <is>
          <t>INPUTS</t>
        </is>
      </c>
      <c r="B1" s="1" t="n"/>
    </row>
    <row r="2" ht="15.75" customHeight="1" s="40">
      <c r="A2" s="1" t="inlineStr">
        <is>
          <t>Item</t>
        </is>
      </c>
      <c r="B2" s="1" t="inlineStr">
        <is>
          <t>Cost/percentage</t>
        </is>
      </c>
    </row>
    <row r="3" ht="15.75" customHeight="1" s="40">
      <c r="A3" s="1" t="inlineStr">
        <is>
          <t>Pre-launch budget</t>
        </is>
      </c>
      <c r="B3" s="2" t="n">
        <v>15000</v>
      </c>
    </row>
    <row r="4" ht="15.75" customHeight="1" s="40">
      <c r="A4" s="1" t="inlineStr">
        <is>
          <t>Campaign Marketing</t>
        </is>
      </c>
      <c r="B4" s="2" t="n">
        <v>4000</v>
      </c>
    </row>
    <row r="5" ht="15.75" customHeight="1" s="40">
      <c r="A5" s="1" t="inlineStr">
        <is>
          <t>Avg pledge per backer</t>
        </is>
      </c>
      <c r="B5" s="2" t="n">
        <v>30</v>
      </c>
    </row>
    <row r="6" ht="15.75" customHeight="1" s="40">
      <c r="A6" s="1" t="inlineStr">
        <is>
          <t>Avg add-on per backer</t>
        </is>
      </c>
      <c r="B6" s="2" t="n">
        <v>3</v>
      </c>
    </row>
    <row r="7" ht="15.75" customHeight="1" s="40">
      <c r="A7" s="1" t="inlineStr">
        <is>
          <t>Shipping charged per backer</t>
        </is>
      </c>
      <c r="B7" s="2" t="n">
        <v>10</v>
      </c>
    </row>
    <row r="8" ht="15.75" customHeight="1" s="40">
      <c r="A8" s="1" t="inlineStr">
        <is>
          <t>Shipping cost per backer</t>
        </is>
      </c>
      <c r="B8" s="2" t="n">
        <v>8</v>
      </c>
    </row>
    <row r="9" ht="15.75" customHeight="1" s="40">
      <c r="A9" s="1" t="n"/>
      <c r="B9" s="1" t="n"/>
    </row>
    <row r="10" ht="15.75" customHeight="1" s="40">
      <c r="A10" s="1" t="inlineStr">
        <is>
          <t>Kickstarter platform fee</t>
        </is>
      </c>
      <c r="B10" s="1" t="n">
        <v>0.05</v>
      </c>
    </row>
    <row r="11" ht="15.75" customHeight="1" s="40">
      <c r="A11" s="1" t="inlineStr">
        <is>
          <t>Payment processing fee</t>
        </is>
      </c>
      <c r="B11" s="1" t="n">
        <v>0.035</v>
      </c>
    </row>
    <row r="12" ht="15.75" customHeight="1" s="40">
      <c r="A12" s="1" t="inlineStr">
        <is>
          <t>Refunds/failed charges</t>
        </is>
      </c>
      <c r="B12" s="1" t="n">
        <v>0.02</v>
      </c>
    </row>
    <row r="13" ht="15.75" customHeight="1" s="40">
      <c r="A13" s="1" t="n"/>
      <c r="B13" s="1" t="n"/>
    </row>
    <row r="14" ht="15.75" customHeight="1" s="40">
      <c r="A14" s="1" t="inlineStr">
        <is>
          <t>Manufacturing Cost per unit</t>
        </is>
      </c>
      <c r="B14" s="2" t="n">
        <v>8.130000000000001</v>
      </c>
    </row>
    <row r="15" ht="15.75" customHeight="1" s="40">
      <c r="A15" s="1" t="inlineStr">
        <is>
          <t>Freight cost per unit</t>
        </is>
      </c>
      <c r="B15" s="2" t="n">
        <v>2</v>
      </c>
    </row>
    <row r="16" ht="15.75" customHeight="1" s="40">
      <c r="A16" s="1" t="inlineStr">
        <is>
          <t>Fulfillment pick/pack per order</t>
        </is>
      </c>
      <c r="B16" s="2" t="n">
        <v>4</v>
      </c>
    </row>
    <row r="17" ht="15.75" customHeight="1" s="40">
      <c r="A17" s="1" t="inlineStr">
        <is>
          <t>packaging materials per order</t>
        </is>
      </c>
      <c r="B17" s="2" t="n">
        <v>0.75</v>
      </c>
    </row>
    <row r="18" ht="15.75" customHeight="1" s="40">
      <c r="A18" s="1" t="n"/>
      <c r="B18" s="1" t="n"/>
    </row>
    <row r="19" ht="15.75" customHeight="1" s="40">
      <c r="A19" s="1" t="inlineStr">
        <is>
          <t>Contingency %</t>
        </is>
      </c>
      <c r="B19" s="1" t="n">
        <v>0.15</v>
      </c>
    </row>
    <row r="20" ht="15.75" customHeight="1" s="40">
      <c r="A20" s="1" t="n"/>
      <c r="B20" s="1" t="n"/>
    </row>
    <row r="21" ht="15.75" customHeight="1" s="40">
      <c r="A21" s="1" t="inlineStr">
        <is>
          <t>Danny Success Bonus</t>
        </is>
      </c>
      <c r="B21" s="2" t="n">
        <v>2000</v>
      </c>
    </row>
    <row r="22" ht="15.75" customHeight="1" s="40">
      <c r="A22" s="1" t="inlineStr">
        <is>
          <t>Bonus Threshold</t>
        </is>
      </c>
      <c r="B22" s="1" t="n">
        <v>75000</v>
      </c>
    </row>
    <row r="24" ht="15.75" customHeight="1" s="40">
      <c r="A24" s="1" t="inlineStr">
        <is>
          <t>Garage ship threshold</t>
        </is>
      </c>
      <c r="B24" s="1" t="n">
        <v>1500</v>
      </c>
    </row>
    <row r="26" ht="15.75" customHeight="1" s="40">
      <c r="A26" s="1" t="inlineStr">
        <is>
          <t>MOQ Units</t>
        </is>
      </c>
      <c r="B26" s="1" t="n">
        <v>500</v>
      </c>
    </row>
    <row r="27" ht="15.75" customHeight="1" s="40">
      <c r="A27" s="1" t="inlineStr">
        <is>
          <t>Units per backer</t>
        </is>
      </c>
      <c r="B27" s="1" t="n">
        <v>1</v>
      </c>
    </row>
    <row r="28" ht="15.75" customHeight="1" s="40">
      <c r="A28" s="1" t="inlineStr">
        <is>
          <t>Wholesale/bulk profit % over cost</t>
        </is>
      </c>
      <c r="B28" s="1" t="n">
        <v>0.02</v>
      </c>
    </row>
    <row r="29" ht="15.75" customHeight="1" s="40">
      <c r="A29" s="1" t="inlineStr">
        <is>
          <t>Bulk Sale Probability</t>
        </is>
      </c>
      <c r="B29" s="1" t="n">
        <v>0.5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:G1"/>
    </sheetView>
  </sheetViews>
  <sheetFormatPr baseColWidth="10" defaultColWidth="8.83203125" defaultRowHeight="13"/>
  <cols>
    <col width="30" customWidth="1" style="40" min="1" max="1"/>
    <col width="16" customWidth="1" style="40" min="2" max="7"/>
    <col width="20" customWidth="1" style="40" min="8" max="8"/>
  </cols>
  <sheetData>
    <row r="1" ht="16" customHeight="1" s="40">
      <c r="A1" s="39" t="inlineStr">
        <is>
          <t>MANUFACTURER PRICING (per unit, base game)</t>
        </is>
      </c>
    </row>
    <row r="2" ht="15" customHeight="1" s="40">
      <c r="A2" s="22" t="inlineStr">
        <is>
          <t>Manufacturer</t>
        </is>
      </c>
      <c r="B2" s="22" t="inlineStr">
        <is>
          <t>MOQ</t>
        </is>
      </c>
      <c r="C2" s="22" t="inlineStr">
        <is>
          <t>Price @500</t>
        </is>
      </c>
      <c r="D2" s="22" t="inlineStr">
        <is>
          <t>Price @1,000</t>
        </is>
      </c>
      <c r="E2" s="22" t="inlineStr">
        <is>
          <t>Price @2,000</t>
        </is>
      </c>
      <c r="F2" s="22" t="inlineStr">
        <is>
          <t>Status</t>
        </is>
      </c>
      <c r="G2" s="22" t="inlineStr">
        <is>
          <t>Notes</t>
        </is>
      </c>
    </row>
    <row r="3">
      <c r="A3" s="23" t="inlineStr">
        <is>
          <t>HiCreate Games (Leah)</t>
        </is>
      </c>
      <c r="B3" s="24" t="n">
        <v>500</v>
      </c>
      <c r="C3" s="25" t="n">
        <v>5.1</v>
      </c>
      <c r="D3" s="25" t="n">
        <v>3.66</v>
      </c>
      <c r="E3" s="25" t="n">
        <v>3.06</v>
      </c>
      <c r="F3" s="23" t="inlineStr">
        <is>
          <t>Quoted</t>
        </is>
      </c>
      <c r="G3" s="23" t="inlineStr">
        <is>
          <t>leah@hicreategames.com</t>
        </is>
      </c>
    </row>
    <row r="4">
      <c r="A4" s="23" t="inlineStr">
        <is>
          <t>Vart Games (Jenny)</t>
        </is>
      </c>
      <c r="B4" s="24" t="n">
        <v>500</v>
      </c>
      <c r="C4" s="26" t="n"/>
      <c r="D4" s="26" t="n"/>
      <c r="E4" s="26" t="n"/>
      <c r="F4" s="23" t="inlineStr">
        <is>
          <t>Replied - pricing TBD</t>
        </is>
      </c>
      <c r="G4" s="23" t="inlineStr">
        <is>
          <t>jenny.yue@vartgames.com</t>
        </is>
      </c>
    </row>
    <row r="5">
      <c r="A5" s="23" t="inlineStr">
        <is>
          <t>Delano</t>
        </is>
      </c>
      <c r="B5" s="24" t="n">
        <v>2000</v>
      </c>
      <c r="C5" s="26" t="n"/>
      <c r="D5" s="26" t="n"/>
      <c r="E5" s="26" t="n"/>
      <c r="F5" s="23" t="inlineStr">
        <is>
          <t>Replied - MOQ too high?</t>
        </is>
      </c>
      <c r="G5" s="23" t="inlineStr">
        <is>
          <t>US manufacturer</t>
        </is>
      </c>
    </row>
    <row r="6">
      <c r="A6" s="23" t="inlineStr">
        <is>
          <t>Longpack</t>
        </is>
      </c>
      <c r="B6" s="26" t="n"/>
      <c r="C6" s="26" t="n"/>
      <c r="D6" s="26" t="n"/>
      <c r="E6" s="26" t="n"/>
      <c r="F6" s="23" t="inlineStr">
        <is>
          <t>Pending</t>
        </is>
      </c>
      <c r="G6" s="23" t="inlineStr">
        <is>
          <t>Sent RFQ Feb 23</t>
        </is>
      </c>
    </row>
    <row r="7">
      <c r="A7" s="23" t="inlineStr">
        <is>
          <t>AGR Priority</t>
        </is>
      </c>
      <c r="B7" s="24" t="n">
        <v>500</v>
      </c>
      <c r="C7" s="25" t="n">
        <v>7.65</v>
      </c>
      <c r="D7" s="25" t="n">
        <v>5.31</v>
      </c>
      <c r="E7" s="25" t="n">
        <v>4.23</v>
      </c>
      <c r="F7" s="23" t="inlineStr">
        <is>
          <t>Quoted</t>
        </is>
      </c>
      <c r="G7" s="23" t="inlineStr">
        <is>
          <t>MOQ 500</t>
        </is>
      </c>
    </row>
    <row r="8">
      <c r="A8" s="23" t="inlineStr">
        <is>
          <t>(Add manufacturer)</t>
        </is>
      </c>
      <c r="B8" s="26" t="n"/>
      <c r="C8" s="26" t="n"/>
      <c r="D8" s="26" t="n"/>
      <c r="E8" s="26" t="n"/>
      <c r="F8" s="23" t="n"/>
      <c r="G8" s="23" t="n"/>
    </row>
    <row r="10" ht="14" customHeight="1" s="40">
      <c r="A10" s="27" t="inlineStr">
        <is>
          <t>Deluxe markup over base price</t>
        </is>
      </c>
      <c r="B10" s="28" t="n">
        <v>0.8</v>
      </c>
      <c r="C10" s="29" t="inlineStr">
        <is>
          <t>Adjust this assumption as needed</t>
        </is>
      </c>
    </row>
    <row r="13" ht="16" customHeight="1" s="40">
      <c r="A13" s="39" t="inlineStr">
        <is>
          <t>ORDER SCENARIO</t>
        </is>
      </c>
    </row>
    <row r="14" ht="14" customHeight="1" s="40">
      <c r="A14" s="30" t="n"/>
      <c r="B14" s="30" t="inlineStr">
        <is>
          <t>Base Units</t>
        </is>
      </c>
      <c r="C14" s="30" t="inlineStr">
        <is>
          <t>Deluxe Units</t>
        </is>
      </c>
      <c r="D14" s="30" t="inlineStr">
        <is>
          <t>Total Units</t>
        </is>
      </c>
    </row>
    <row r="15">
      <c r="A15" s="23" t="inlineStr">
        <is>
          <t>Your order plan</t>
        </is>
      </c>
      <c r="B15" s="24" t="n">
        <v>1000</v>
      </c>
      <c r="C15" s="24" t="n">
        <v>500</v>
      </c>
      <c r="D15" s="31">
        <f>B15+C15</f>
        <v/>
      </c>
    </row>
    <row r="18" ht="16" customHeight="1" s="40">
      <c r="A18" s="39" t="inlineStr">
        <is>
          <t>COST COMPARISON BY MANUFACTURER</t>
        </is>
      </c>
    </row>
    <row r="19" ht="15" customHeight="1" s="40">
      <c r="A19" s="22" t="inlineStr">
        <is>
          <t>Manufacturer</t>
        </is>
      </c>
      <c r="B19" s="22" t="inlineStr">
        <is>
          <t>Base $/unit</t>
        </is>
      </c>
      <c r="C19" s="22" t="inlineStr">
        <is>
          <t>Deluxe $/unit</t>
        </is>
      </c>
      <c r="D19" s="22" t="inlineStr">
        <is>
          <t>Base Total</t>
        </is>
      </c>
      <c r="E19" s="22" t="inlineStr">
        <is>
          <t>Deluxe Total</t>
        </is>
      </c>
      <c r="F19" s="22" t="inlineStr">
        <is>
          <t>Grand Total</t>
        </is>
      </c>
      <c r="G19" s="22" t="inlineStr">
        <is>
          <t>Avg $/unit</t>
        </is>
      </c>
      <c r="H19" s="22" t="inlineStr">
        <is>
          <t>vs Current Budget</t>
        </is>
      </c>
    </row>
    <row r="20">
      <c r="A20" s="31">
        <f>A3</f>
        <v/>
      </c>
      <c r="B20" s="32">
        <f>IF(B15&gt;=2000,E3,IF(B15&gt;=1000,D3,C3))</f>
        <v/>
      </c>
      <c r="C20" s="32">
        <f>IF(C15&gt;=2000,E3,IF(C15&gt;=1000,D3,C3))*(1+$B$10)</f>
        <v/>
      </c>
      <c r="D20" s="32">
        <f>B20*$B$15</f>
        <v/>
      </c>
      <c r="E20" s="32">
        <f>C20*$C$15</f>
        <v/>
      </c>
      <c r="F20" s="32">
        <f>D20+E20</f>
        <v/>
      </c>
      <c r="G20" s="32">
        <f>IF($D$15=0,0,F20/$D$15)</f>
        <v/>
      </c>
      <c r="H20" s="33">
        <f>G20-Inputs!$B$14</f>
        <v/>
      </c>
    </row>
    <row r="21">
      <c r="A21" s="31">
        <f>A4</f>
        <v/>
      </c>
      <c r="B21" s="32">
        <f>IF(B15&gt;=2000,E4,IF(B15&gt;=1000,D4,C4))</f>
        <v/>
      </c>
      <c r="C21" s="32">
        <f>IF(C15&gt;=2000,E4,IF(C15&gt;=1000,D4,C4))*(1+$B$10)</f>
        <v/>
      </c>
      <c r="D21" s="32">
        <f>B21*$B$15</f>
        <v/>
      </c>
      <c r="E21" s="32">
        <f>C21*$C$15</f>
        <v/>
      </c>
      <c r="F21" s="32">
        <f>D21+E21</f>
        <v/>
      </c>
      <c r="G21" s="32">
        <f>IF($D$15=0,0,F21/$D$15)</f>
        <v/>
      </c>
      <c r="H21" s="33">
        <f>G21-Inputs!$B$14</f>
        <v/>
      </c>
    </row>
    <row r="22">
      <c r="A22" s="31">
        <f>A5</f>
        <v/>
      </c>
      <c r="B22" s="32">
        <f>IF(B15&gt;=2000,E5,IF(B15&gt;=1000,D5,C5))</f>
        <v/>
      </c>
      <c r="C22" s="32">
        <f>IF(C15&gt;=2000,E5,IF(C15&gt;=1000,D5,C5))*(1+$B$10)</f>
        <v/>
      </c>
      <c r="D22" s="32">
        <f>B22*$B$15</f>
        <v/>
      </c>
      <c r="E22" s="32">
        <f>C22*$C$15</f>
        <v/>
      </c>
      <c r="F22" s="32">
        <f>D22+E22</f>
        <v/>
      </c>
      <c r="G22" s="32">
        <f>IF($D$15=0,0,F22/$D$15)</f>
        <v/>
      </c>
      <c r="H22" s="33">
        <f>G22-Inputs!$B$14</f>
        <v/>
      </c>
    </row>
    <row r="23">
      <c r="A23" s="31">
        <f>A6</f>
        <v/>
      </c>
      <c r="B23" s="32">
        <f>IF(B15&gt;=2000,E6,IF(B15&gt;=1000,D6,C6))</f>
        <v/>
      </c>
      <c r="C23" s="32">
        <f>IF(C15&gt;=2000,E6,IF(C15&gt;=1000,D6,C6))*(1+$B$10)</f>
        <v/>
      </c>
      <c r="D23" s="32">
        <f>B23*$B$15</f>
        <v/>
      </c>
      <c r="E23" s="32">
        <f>C23*$C$15</f>
        <v/>
      </c>
      <c r="F23" s="32">
        <f>D23+E23</f>
        <v/>
      </c>
      <c r="G23" s="32">
        <f>IF($D$15=0,0,F23/$D$15)</f>
        <v/>
      </c>
      <c r="H23" s="33">
        <f>G23-Inputs!$B$14</f>
        <v/>
      </c>
    </row>
    <row r="24">
      <c r="A24" s="31">
        <f>A7</f>
        <v/>
      </c>
      <c r="B24" s="32">
        <f>IF(B15&gt;=2000,E7,IF(B15&gt;=1000,D7,C7))</f>
        <v/>
      </c>
      <c r="C24" s="32">
        <f>IF(C15&gt;=2000,E7,IF(C15&gt;=1000,D7,C7))*(1+$B$10)</f>
        <v/>
      </c>
      <c r="D24" s="32">
        <f>B24*$B$15</f>
        <v/>
      </c>
      <c r="E24" s="32">
        <f>C24*$C$15</f>
        <v/>
      </c>
      <c r="F24" s="32">
        <f>D24+E24</f>
        <v/>
      </c>
      <c r="G24" s="32">
        <f>IF($D$15=0,0,F24/$D$15)</f>
        <v/>
      </c>
      <c r="H24" s="33">
        <f>G24-Inputs!$B$14</f>
        <v/>
      </c>
    </row>
    <row r="25">
      <c r="A25" s="31">
        <f>A8</f>
        <v/>
      </c>
      <c r="B25" s="32">
        <f>IF(B15&gt;=2000,E8,IF(B15&gt;=1000,D8,C8))</f>
        <v/>
      </c>
      <c r="C25" s="32">
        <f>IF(C15&gt;=2000,E8,IF(C15&gt;=1000,D8,C8))*(1+$B$10)</f>
        <v/>
      </c>
      <c r="D25" s="32">
        <f>B25*$B$15</f>
        <v/>
      </c>
      <c r="E25" s="32">
        <f>C25*$C$15</f>
        <v/>
      </c>
      <c r="F25" s="32">
        <f>D25+E25</f>
        <v/>
      </c>
      <c r="G25" s="32">
        <f>IF($D$15=0,0,F25/$D$15)</f>
        <v/>
      </c>
      <c r="H25" s="33">
        <f>G25-Inputs!$B$14</f>
        <v/>
      </c>
    </row>
    <row r="28" ht="16" customHeight="1" s="40">
      <c r="A28" s="39" t="inlineStr">
        <is>
          <t>PROFIT IMPACT AT DIFFERENT KS FUNDING LEVELS (vs current $6.50/unit assumption)</t>
        </is>
      </c>
    </row>
    <row r="29" ht="30" customHeight="1" s="40">
      <c r="A29" s="22" t="inlineStr">
        <is>
          <t>KS Gross Funding</t>
        </is>
      </c>
      <c r="B29" s="22" t="inlineStr">
        <is>
          <t>Backers</t>
        </is>
      </c>
      <c r="C29" s="22">
        <f>A20</f>
        <v/>
      </c>
      <c r="D29" s="22">
        <f>A21</f>
        <v/>
      </c>
      <c r="E29" s="22">
        <f>A22</f>
        <v/>
      </c>
      <c r="F29" s="22">
        <f>A23</f>
        <v/>
      </c>
      <c r="G29" s="22">
        <f>A24</f>
        <v/>
      </c>
      <c r="H29" s="22">
        <f>A25</f>
        <v/>
      </c>
    </row>
    <row r="30">
      <c r="A30" s="34" t="n">
        <v>25000</v>
      </c>
      <c r="B30" s="35">
        <f>A30/(Inputs!$B$5+Inputs!$B$6)</f>
        <v/>
      </c>
      <c r="C30" s="36">
        <f>IF(G20=0,"—",(Inputs!$B$14-G20)*B30)</f>
        <v/>
      </c>
      <c r="D30" s="36">
        <f>IF(G21=0,"—",(Inputs!$B$14-G21)*B30)</f>
        <v/>
      </c>
      <c r="E30" s="36">
        <f>IF(G22=0,"—",(Inputs!$B$14-G22)*B30)</f>
        <v/>
      </c>
      <c r="F30" s="36">
        <f>IF(G23=0,"—",(Inputs!$B$14-G23)*B30)</f>
        <v/>
      </c>
      <c r="G30" s="36">
        <f>IF(G24=0,"—",(Inputs!$B$14-G24)*B30)</f>
        <v/>
      </c>
      <c r="H30" s="36">
        <f>IF(G25=0,"—",(Inputs!$B$14-G25)*B30)</f>
        <v/>
      </c>
    </row>
    <row r="31">
      <c r="A31" s="34" t="n">
        <v>30000</v>
      </c>
      <c r="B31" s="35">
        <f>A31/(Inputs!$B$5+Inputs!$B$6)</f>
        <v/>
      </c>
      <c r="C31" s="36">
        <f>IF(G20=0,"—",(Inputs!$B$14-G20)*B31)</f>
        <v/>
      </c>
      <c r="D31" s="36">
        <f>IF(G21=0,"—",(Inputs!$B$14-G21)*B31)</f>
        <v/>
      </c>
      <c r="E31" s="36">
        <f>IF(G22=0,"—",(Inputs!$B$14-G22)*B31)</f>
        <v/>
      </c>
      <c r="F31" s="36">
        <f>IF(G23=0,"—",(Inputs!$B$14-G23)*B31)</f>
        <v/>
      </c>
      <c r="G31" s="36">
        <f>IF(G24=0,"—",(Inputs!$B$14-G24)*B31)</f>
        <v/>
      </c>
      <c r="H31" s="36">
        <f>IF(G25=0,"—",(Inputs!$B$14-G25)*B31)</f>
        <v/>
      </c>
    </row>
    <row r="32">
      <c r="A32" s="34" t="n">
        <v>40000</v>
      </c>
      <c r="B32" s="35">
        <f>A32/(Inputs!$B$5+Inputs!$B$6)</f>
        <v/>
      </c>
      <c r="C32" s="36">
        <f>IF(G20=0,"—",(Inputs!$B$14-G20)*B32)</f>
        <v/>
      </c>
      <c r="D32" s="36">
        <f>IF(G21=0,"—",(Inputs!$B$14-G21)*B32)</f>
        <v/>
      </c>
      <c r="E32" s="36">
        <f>IF(G22=0,"—",(Inputs!$B$14-G22)*B32)</f>
        <v/>
      </c>
      <c r="F32" s="36">
        <f>IF(G23=0,"—",(Inputs!$B$14-G23)*B32)</f>
        <v/>
      </c>
      <c r="G32" s="36">
        <f>IF(G24=0,"—",(Inputs!$B$14-G24)*B32)</f>
        <v/>
      </c>
      <c r="H32" s="36">
        <f>IF(G25=0,"—",(Inputs!$B$14-G25)*B32)</f>
        <v/>
      </c>
    </row>
    <row r="33">
      <c r="A33" s="34" t="n">
        <v>49500</v>
      </c>
      <c r="B33" s="35">
        <f>A33/(Inputs!$B$5+Inputs!$B$6)</f>
        <v/>
      </c>
      <c r="C33" s="36">
        <f>IF(G20=0,"—",(Inputs!$B$14-G20)*B33)</f>
        <v/>
      </c>
      <c r="D33" s="36">
        <f>IF(G21=0,"—",(Inputs!$B$14-G21)*B33)</f>
        <v/>
      </c>
      <c r="E33" s="36">
        <f>IF(G22=0,"—",(Inputs!$B$14-G22)*B33)</f>
        <v/>
      </c>
      <c r="F33" s="36">
        <f>IF(G23=0,"—",(Inputs!$B$14-G23)*B33)</f>
        <v/>
      </c>
      <c r="G33" s="36">
        <f>IF(G24=0,"—",(Inputs!$B$14-G24)*B33)</f>
        <v/>
      </c>
      <c r="H33" s="36">
        <f>IF(G25=0,"—",(Inputs!$B$14-G25)*B33)</f>
        <v/>
      </c>
    </row>
    <row r="34">
      <c r="A34" s="34" t="n">
        <v>60000</v>
      </c>
      <c r="B34" s="35">
        <f>A34/(Inputs!$B$5+Inputs!$B$6)</f>
        <v/>
      </c>
      <c r="C34" s="36">
        <f>IF(G20=0,"—",(Inputs!$B$14-G20)*B34)</f>
        <v/>
      </c>
      <c r="D34" s="36">
        <f>IF(G21=0,"—",(Inputs!$B$14-G21)*B34)</f>
        <v/>
      </c>
      <c r="E34" s="36">
        <f>IF(G22=0,"—",(Inputs!$B$14-G22)*B34)</f>
        <v/>
      </c>
      <c r="F34" s="36">
        <f>IF(G23=0,"—",(Inputs!$B$14-G23)*B34)</f>
        <v/>
      </c>
      <c r="G34" s="36">
        <f>IF(G24=0,"—",(Inputs!$B$14-G24)*B34)</f>
        <v/>
      </c>
      <c r="H34" s="36">
        <f>IF(G25=0,"—",(Inputs!$B$14-G25)*B34)</f>
        <v/>
      </c>
    </row>
    <row r="35">
      <c r="A35" s="34" t="n">
        <v>75000</v>
      </c>
      <c r="B35" s="35">
        <f>A35/(Inputs!$B$5+Inputs!$B$6)</f>
        <v/>
      </c>
      <c r="C35" s="36">
        <f>IF(G20=0,"—",(Inputs!$B$14-G20)*B35)</f>
        <v/>
      </c>
      <c r="D35" s="36">
        <f>IF(G21=0,"—",(Inputs!$B$14-G21)*B35)</f>
        <v/>
      </c>
      <c r="E35" s="36">
        <f>IF(G22=0,"—",(Inputs!$B$14-G22)*B35)</f>
        <v/>
      </c>
      <c r="F35" s="36">
        <f>IF(G23=0,"—",(Inputs!$B$14-G23)*B35)</f>
        <v/>
      </c>
      <c r="G35" s="36">
        <f>IF(G24=0,"—",(Inputs!$B$14-G24)*B35)</f>
        <v/>
      </c>
      <c r="H35" s="36">
        <f>IF(G25=0,"—",(Inputs!$B$14-G25)*B35)</f>
        <v/>
      </c>
    </row>
    <row r="36">
      <c r="A36" s="34" t="n">
        <v>100000</v>
      </c>
      <c r="B36" s="35">
        <f>A36/(Inputs!$B$5+Inputs!$B$6)</f>
        <v/>
      </c>
      <c r="C36" s="36">
        <f>IF(G20=0,"—",(Inputs!$B$14-G20)*B36)</f>
        <v/>
      </c>
      <c r="D36" s="36">
        <f>IF(G21=0,"—",(Inputs!$B$14-G21)*B36)</f>
        <v/>
      </c>
      <c r="E36" s="36">
        <f>IF(G22=0,"—",(Inputs!$B$14-G22)*B36)</f>
        <v/>
      </c>
      <c r="F36" s="36">
        <f>IF(G23=0,"—",(Inputs!$B$14-G23)*B36)</f>
        <v/>
      </c>
      <c r="G36" s="36">
        <f>IF(G24=0,"—",(Inputs!$B$14-G24)*B36)</f>
        <v/>
      </c>
      <c r="H36" s="36">
        <f>IF(G25=0,"—",(Inputs!$B$14-G25)*B36)</f>
        <v/>
      </c>
    </row>
    <row r="37">
      <c r="A37" s="34" t="n">
        <v>150000</v>
      </c>
      <c r="B37" s="35">
        <f>A37/(Inputs!$B$5+Inputs!$B$6)</f>
        <v/>
      </c>
      <c r="C37" s="36">
        <f>IF(G20=0,"—",(Inputs!$B$14-G20)*B37)</f>
        <v/>
      </c>
      <c r="D37" s="36">
        <f>IF(G21=0,"—",(Inputs!$B$14-G21)*B37)</f>
        <v/>
      </c>
      <c r="E37" s="36">
        <f>IF(G22=0,"—",(Inputs!$B$14-G22)*B37)</f>
        <v/>
      </c>
      <c r="F37" s="36">
        <f>IF(G23=0,"—",(Inputs!$B$14-G23)*B37)</f>
        <v/>
      </c>
      <c r="G37" s="36">
        <f>IF(G24=0,"—",(Inputs!$B$14-G24)*B37)</f>
        <v/>
      </c>
      <c r="H37" s="36">
        <f>IF(G25=0,"—",(Inputs!$B$14-G25)*B37)</f>
        <v/>
      </c>
    </row>
    <row r="38">
      <c r="A38" s="34" t="n">
        <v>200000</v>
      </c>
      <c r="B38" s="35">
        <f>A38/(Inputs!$B$5+Inputs!$B$6)</f>
        <v/>
      </c>
      <c r="C38" s="36">
        <f>IF(G20=0,"—",(Inputs!$B$14-G20)*B38)</f>
        <v/>
      </c>
      <c r="D38" s="36">
        <f>IF(G21=0,"—",(Inputs!$B$14-G21)*B38)</f>
        <v/>
      </c>
      <c r="E38" s="36">
        <f>IF(G22=0,"—",(Inputs!$B$14-G22)*B38)</f>
        <v/>
      </c>
      <c r="F38" s="36">
        <f>IF(G23=0,"—",(Inputs!$B$14-G23)*B38)</f>
        <v/>
      </c>
      <c r="G38" s="36">
        <f>IF(G24=0,"—",(Inputs!$B$14-G24)*B38)</f>
        <v/>
      </c>
      <c r="H38" s="36">
        <f>IF(G25=0,"—",(Inputs!$B$14-G25)*B38)</f>
        <v/>
      </c>
    </row>
    <row r="39">
      <c r="A39" s="29" t="inlineStr">
        <is>
          <t>Positive = savings vs current budget assumption. Negative = more expensive.</t>
        </is>
      </c>
    </row>
    <row r="41" ht="16" customHeight="1" s="40">
      <c r="A41" s="41" t="inlineStr">
        <is>
          <t>QUICK REFERENCE</t>
        </is>
      </c>
    </row>
    <row r="42">
      <c r="A42" t="inlineStr">
        <is>
          <t>Current budget mfg cost/unit</t>
        </is>
      </c>
      <c r="B42" s="37">
        <f>Inputs!B14</f>
        <v/>
      </c>
      <c r="C42" s="29" t="inlineStr">
        <is>
          <t>(from Inputs sheet)</t>
        </is>
      </c>
    </row>
    <row r="43">
      <c r="A43" t="inlineStr">
        <is>
          <t>Budget mfg target</t>
        </is>
      </c>
      <c r="B43" s="38" t="inlineStr">
        <is>
          <t>&lt; $8.00/unit</t>
        </is>
      </c>
    </row>
    <row r="44">
      <c r="A44" t="inlineStr">
        <is>
          <t>To update Scenarios sheet:</t>
        </is>
      </c>
      <c r="B44" s="29" t="inlineStr">
        <is>
          <t>Change Inputs!B14 to the chosen manufacturer's avg $/unit</t>
        </is>
      </c>
    </row>
  </sheetData>
  <mergeCells count="5">
    <mergeCell ref="A18:H18"/>
    <mergeCell ref="A13:G13"/>
    <mergeCell ref="A1:G1"/>
    <mergeCell ref="A28:H28"/>
    <mergeCell ref="A41:D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40" min="1" max="1"/>
    <col width="16" customWidth="1" style="40" min="2" max="2"/>
    <col width="16" customWidth="1" style="40" min="3" max="3"/>
    <col width="16" customWidth="1" style="40" min="4" max="4"/>
    <col width="16" customWidth="1" style="40" min="5" max="5"/>
    <col width="16" customWidth="1" style="40" min="6" max="6"/>
    <col width="16" customWidth="1" style="40" min="7" max="7"/>
    <col width="18" customWidth="1" style="40" min="8" max="8"/>
    <col width="20" customWidth="1" style="40" min="9" max="9"/>
  </cols>
  <sheetData>
    <row r="1">
      <c r="A1" s="43" t="inlineStr">
        <is>
          <t>KICKSTARTER ORGANIC DISCOVERY MODEL</t>
        </is>
      </c>
    </row>
    <row r="2">
      <c r="A2" s="44" t="inlineStr">
        <is>
          <t>Based on Crowdfunding Nerds analysis: ~40-43% of tabletop campaign revenue comes from KS organic discovery.</t>
        </is>
      </c>
    </row>
    <row r="3">
      <c r="A3" s="44" t="inlineStr">
        <is>
          <t>Organic discovery scales with campaign momentum — stronger early funding = more algorithm visibility.</t>
        </is>
      </c>
    </row>
    <row r="5">
      <c r="A5" s="45" t="inlineStr">
        <is>
          <t>ASSUMPTIONS (adjust blue cells)</t>
        </is>
      </c>
    </row>
    <row r="6">
      <c r="A6" s="46" t="inlineStr">
        <is>
          <t>Avg pledge (from Inputs)</t>
        </is>
      </c>
      <c r="B6" s="47">
        <f>Inputs!B5+Inputs!B6</f>
        <v/>
      </c>
      <c r="C6" s="44" t="inlineStr">
        <is>
          <t>Pledge + add-ons</t>
        </is>
      </c>
    </row>
    <row r="7">
      <c r="A7" s="46" t="inlineStr">
        <is>
          <t>Organic % — small campaign (&lt;$25K)</t>
        </is>
      </c>
      <c r="B7" s="48" t="n">
        <v>0.2</v>
      </c>
      <c r="C7" s="44" t="inlineStr">
        <is>
          <t>KS browse/search, lower algorithm boost</t>
        </is>
      </c>
    </row>
    <row r="8">
      <c r="A8" s="46" t="inlineStr">
        <is>
          <t>Organic % — mid campaign ($25K-$75K)</t>
        </is>
      </c>
      <c r="B8" s="48" t="n">
        <v>0.35</v>
      </c>
      <c r="C8" s="44" t="inlineStr">
        <is>
          <t>Category ranking + some featuring</t>
        </is>
      </c>
    </row>
    <row r="9">
      <c r="A9" s="46" t="inlineStr">
        <is>
          <t>Organic % — strong campaign ($75K-$150K)</t>
        </is>
      </c>
      <c r="B9" s="48" t="n">
        <v>0.4</v>
      </c>
      <c r="C9" s="44" t="inlineStr">
        <is>
          <t>Projects We Love territory</t>
        </is>
      </c>
    </row>
    <row r="10">
      <c r="A10" s="46" t="inlineStr">
        <is>
          <t>Organic % — breakout campaign ($150K+)</t>
        </is>
      </c>
      <c r="B10" s="48" t="n">
        <v>0.43</v>
      </c>
      <c r="C10" s="44" t="inlineStr">
        <is>
          <t>Max organic ceiling per research</t>
        </is>
      </c>
    </row>
    <row r="11">
      <c r="A11" s="46" t="inlineStr">
        <is>
          <t>"Projects We Love" bonus</t>
        </is>
      </c>
      <c r="B11" s="48" t="n">
        <v>0.05</v>
      </c>
      <c r="C11" s="44" t="inlineStr">
        <is>
          <t>Extra organic boost if badge awarded</t>
        </is>
      </c>
    </row>
    <row r="12">
      <c r="A12" s="46" t="inlineStr">
        <is>
          <t>Got "Projects We Love"?</t>
        </is>
      </c>
      <c r="B12" s="49" t="inlineStr">
        <is>
          <t>No</t>
        </is>
      </c>
      <c r="C12" s="44" t="inlineStr">
        <is>
          <t>Change to "Yes" if awarded</t>
        </is>
      </c>
    </row>
    <row r="14">
      <c r="A14" s="43" t="inlineStr">
        <is>
          <t>FROM YOUR MARKETING → TOTAL BACKERS (with organic growth)</t>
        </is>
      </c>
    </row>
    <row r="15">
      <c r="A15" s="50" t="inlineStr">
        <is>
          <t>Creator-Driven Backers</t>
        </is>
      </c>
      <c r="B15" s="50" t="inlineStr">
        <is>
          <t>Creator $ Revenue</t>
        </is>
      </c>
      <c r="C15" s="50" t="inlineStr">
        <is>
          <t>Organic % Applied</t>
        </is>
      </c>
      <c r="D15" s="50" t="inlineStr">
        <is>
          <t>Organic Backers</t>
        </is>
      </c>
      <c r="E15" s="50" t="inlineStr">
        <is>
          <t>Total Backers</t>
        </is>
      </c>
      <c r="F15" s="50" t="inlineStr">
        <is>
          <t>Total Gross $</t>
        </is>
      </c>
      <c r="G15" s="50" t="inlineStr">
        <is>
          <t>Effective Multiplier</t>
        </is>
      </c>
      <c r="H15" s="50" t="inlineStr">
        <is>
          <t>Profit Impact vs No Organic</t>
        </is>
      </c>
    </row>
    <row r="16">
      <c r="A16" s="49" t="n">
        <v>200</v>
      </c>
      <c r="B16" s="47">
        <f>A16*$B$6</f>
        <v/>
      </c>
      <c r="C16" s="51">
        <f>IF($B$12="Yes",$B$11,0)+IF(B16&lt;25000,$B$7,IF(B16&lt;75000,$B$8,IF(B16&lt;150000,$B$9,$B$10)))</f>
        <v/>
      </c>
      <c r="D16" s="52">
        <f>ROUND(A16*(C16/(1-C16)),0)</f>
        <v/>
      </c>
      <c r="E16" s="52">
        <f>A16+D16</f>
        <v/>
      </c>
      <c r="F16" s="47">
        <f>E16*$B$6</f>
        <v/>
      </c>
      <c r="G16" s="53">
        <f>IF(A16=0,0,E16/A16)</f>
        <v/>
      </c>
      <c r="H16" s="47">
        <f>D16*($B$6*(1-Inputs!$B$10-Inputs!$B$11-Inputs!$B$12)-(Inputs!$B$14+Inputs!$B$15+Inputs!$B$16+Inputs!$B$17))</f>
        <v/>
      </c>
    </row>
    <row r="17">
      <c r="A17" s="49" t="n">
        <v>300</v>
      </c>
      <c r="B17" s="47">
        <f>A17*$B$6</f>
        <v/>
      </c>
      <c r="C17" s="51">
        <f>IF($B$12="Yes",$B$11,0)+IF(B17&lt;25000,$B$7,IF(B17&lt;75000,$B$8,IF(B17&lt;150000,$B$9,$B$10)))</f>
        <v/>
      </c>
      <c r="D17" s="52">
        <f>ROUND(A17*(C17/(1-C17)),0)</f>
        <v/>
      </c>
      <c r="E17" s="52">
        <f>A17+D17</f>
        <v/>
      </c>
      <c r="F17" s="47">
        <f>E17*$B$6</f>
        <v/>
      </c>
      <c r="G17" s="53">
        <f>IF(A17=0,0,E17/A17)</f>
        <v/>
      </c>
      <c r="H17" s="47">
        <f>D17*($B$6*(1-Inputs!$B$10-Inputs!$B$11-Inputs!$B$12)-(Inputs!$B$14+Inputs!$B$15+Inputs!$B$16+Inputs!$B$17))</f>
        <v/>
      </c>
    </row>
    <row r="18">
      <c r="A18" s="49" t="n">
        <v>400</v>
      </c>
      <c r="B18" s="47">
        <f>A18*$B$6</f>
        <v/>
      </c>
      <c r="C18" s="51">
        <f>IF($B$12="Yes",$B$11,0)+IF(B18&lt;25000,$B$7,IF(B18&lt;75000,$B$8,IF(B18&lt;150000,$B$9,$B$10)))</f>
        <v/>
      </c>
      <c r="D18" s="52">
        <f>ROUND(A18*(C18/(1-C18)),0)</f>
        <v/>
      </c>
      <c r="E18" s="52">
        <f>A18+D18</f>
        <v/>
      </c>
      <c r="F18" s="47">
        <f>E18*$B$6</f>
        <v/>
      </c>
      <c r="G18" s="53">
        <f>IF(A18=0,0,E18/A18)</f>
        <v/>
      </c>
      <c r="H18" s="47">
        <f>D18*($B$6*(1-Inputs!$B$10-Inputs!$B$11-Inputs!$B$12)-(Inputs!$B$14+Inputs!$B$15+Inputs!$B$16+Inputs!$B$17))</f>
        <v/>
      </c>
    </row>
    <row r="19">
      <c r="A19" s="49" t="n">
        <v>500</v>
      </c>
      <c r="B19" s="47">
        <f>A19*$B$6</f>
        <v/>
      </c>
      <c r="C19" s="51">
        <f>IF($B$12="Yes",$B$11,0)+IF(B19&lt;25000,$B$7,IF(B19&lt;75000,$B$8,IF(B19&lt;150000,$B$9,$B$10)))</f>
        <v/>
      </c>
      <c r="D19" s="52">
        <f>ROUND(A19*(C19/(1-C19)),0)</f>
        <v/>
      </c>
      <c r="E19" s="52">
        <f>A19+D19</f>
        <v/>
      </c>
      <c r="F19" s="47">
        <f>E19*$B$6</f>
        <v/>
      </c>
      <c r="G19" s="53">
        <f>IF(A19=0,0,E19/A19)</f>
        <v/>
      </c>
      <c r="H19" s="47">
        <f>D19*($B$6*(1-Inputs!$B$10-Inputs!$B$11-Inputs!$B$12)-(Inputs!$B$14+Inputs!$B$15+Inputs!$B$16+Inputs!$B$17))</f>
        <v/>
      </c>
    </row>
    <row r="20">
      <c r="A20" s="49" t="n">
        <v>600</v>
      </c>
      <c r="B20" s="47">
        <f>A20*$B$6</f>
        <v/>
      </c>
      <c r="C20" s="51">
        <f>IF($B$12="Yes",$B$11,0)+IF(B20&lt;25000,$B$7,IF(B20&lt;75000,$B$8,IF(B20&lt;150000,$B$9,$B$10)))</f>
        <v/>
      </c>
      <c r="D20" s="52">
        <f>ROUND(A20*(C20/(1-C20)),0)</f>
        <v/>
      </c>
      <c r="E20" s="52">
        <f>A20+D20</f>
        <v/>
      </c>
      <c r="F20" s="47">
        <f>E20*$B$6</f>
        <v/>
      </c>
      <c r="G20" s="53">
        <f>IF(A20=0,0,E20/A20)</f>
        <v/>
      </c>
      <c r="H20" s="47">
        <f>D20*($B$6*(1-Inputs!$B$10-Inputs!$B$11-Inputs!$B$12)-(Inputs!$B$14+Inputs!$B$15+Inputs!$B$16+Inputs!$B$17))</f>
        <v/>
      </c>
    </row>
    <row r="21">
      <c r="A21" s="49" t="n">
        <v>750</v>
      </c>
      <c r="B21" s="47">
        <f>A21*$B$6</f>
        <v/>
      </c>
      <c r="C21" s="51">
        <f>IF($B$12="Yes",$B$11,0)+IF(B21&lt;25000,$B$7,IF(B21&lt;75000,$B$8,IF(B21&lt;150000,$B$9,$B$10)))</f>
        <v/>
      </c>
      <c r="D21" s="52">
        <f>ROUND(A21*(C21/(1-C21)),0)</f>
        <v/>
      </c>
      <c r="E21" s="52">
        <f>A21+D21</f>
        <v/>
      </c>
      <c r="F21" s="47">
        <f>E21*$B$6</f>
        <v/>
      </c>
      <c r="G21" s="53">
        <f>IF(A21=0,0,E21/A21)</f>
        <v/>
      </c>
      <c r="H21" s="47">
        <f>D21*($B$6*(1-Inputs!$B$10-Inputs!$B$11-Inputs!$B$12)-(Inputs!$B$14+Inputs!$B$15+Inputs!$B$16+Inputs!$B$17))</f>
        <v/>
      </c>
    </row>
    <row r="22">
      <c r="A22" s="49" t="n">
        <v>900</v>
      </c>
      <c r="B22" s="47">
        <f>A22*$B$6</f>
        <v/>
      </c>
      <c r="C22" s="51">
        <f>IF($B$12="Yes",$B$11,0)+IF(B22&lt;25000,$B$7,IF(B22&lt;75000,$B$8,IF(B22&lt;150000,$B$9,$B$10)))</f>
        <v/>
      </c>
      <c r="D22" s="52">
        <f>ROUND(A22*(C22/(1-C22)),0)</f>
        <v/>
      </c>
      <c r="E22" s="52">
        <f>A22+D22</f>
        <v/>
      </c>
      <c r="F22" s="47">
        <f>E22*$B$6</f>
        <v/>
      </c>
      <c r="G22" s="53">
        <f>IF(A22=0,0,E22/A22)</f>
        <v/>
      </c>
      <c r="H22" s="47">
        <f>D22*($B$6*(1-Inputs!$B$10-Inputs!$B$11-Inputs!$B$12)-(Inputs!$B$14+Inputs!$B$15+Inputs!$B$16+Inputs!$B$17))</f>
        <v/>
      </c>
    </row>
    <row r="23">
      <c r="A23" s="49" t="n">
        <v>1000</v>
      </c>
      <c r="B23" s="47">
        <f>A23*$B$6</f>
        <v/>
      </c>
      <c r="C23" s="51">
        <f>IF($B$12="Yes",$B$11,0)+IF(B23&lt;25000,$B$7,IF(B23&lt;75000,$B$8,IF(B23&lt;150000,$B$9,$B$10)))</f>
        <v/>
      </c>
      <c r="D23" s="52">
        <f>ROUND(A23*(C23/(1-C23)),0)</f>
        <v/>
      </c>
      <c r="E23" s="52">
        <f>A23+D23</f>
        <v/>
      </c>
      <c r="F23" s="47">
        <f>E23*$B$6</f>
        <v/>
      </c>
      <c r="G23" s="53">
        <f>IF(A23=0,0,E23/A23)</f>
        <v/>
      </c>
      <c r="H23" s="47">
        <f>D23*($B$6*(1-Inputs!$B$10-Inputs!$B$11-Inputs!$B$12)-(Inputs!$B$14+Inputs!$B$15+Inputs!$B$16+Inputs!$B$17))</f>
        <v/>
      </c>
    </row>
    <row r="24">
      <c r="A24" s="49" t="n">
        <v>1200</v>
      </c>
      <c r="B24" s="47">
        <f>A24*$B$6</f>
        <v/>
      </c>
      <c r="C24" s="51">
        <f>IF($B$12="Yes",$B$11,0)+IF(B24&lt;25000,$B$7,IF(B24&lt;75000,$B$8,IF(B24&lt;150000,$B$9,$B$10)))</f>
        <v/>
      </c>
      <c r="D24" s="52">
        <f>ROUND(A24*(C24/(1-C24)),0)</f>
        <v/>
      </c>
      <c r="E24" s="52">
        <f>A24+D24</f>
        <v/>
      </c>
      <c r="F24" s="47">
        <f>E24*$B$6</f>
        <v/>
      </c>
      <c r="G24" s="53">
        <f>IF(A24=0,0,E24/A24)</f>
        <v/>
      </c>
      <c r="H24" s="47">
        <f>D24*($B$6*(1-Inputs!$B$10-Inputs!$B$11-Inputs!$B$12)-(Inputs!$B$14+Inputs!$B$15+Inputs!$B$16+Inputs!$B$17))</f>
        <v/>
      </c>
    </row>
    <row r="25">
      <c r="A25" s="49" t="n">
        <v>1500</v>
      </c>
      <c r="B25" s="47">
        <f>A25*$B$6</f>
        <v/>
      </c>
      <c r="C25" s="51">
        <f>IF($B$12="Yes",$B$11,0)+IF(B25&lt;25000,$B$7,IF(B25&lt;75000,$B$8,IF(B25&lt;150000,$B$9,$B$10)))</f>
        <v/>
      </c>
      <c r="D25" s="52">
        <f>ROUND(A25*(C25/(1-C25)),0)</f>
        <v/>
      </c>
      <c r="E25" s="52">
        <f>A25+D25</f>
        <v/>
      </c>
      <c r="F25" s="47">
        <f>E25*$B$6</f>
        <v/>
      </c>
      <c r="G25" s="53">
        <f>IF(A25=0,0,E25/A25)</f>
        <v/>
      </c>
      <c r="H25" s="47">
        <f>D25*($B$6*(1-Inputs!$B$10-Inputs!$B$11-Inputs!$B$12)-(Inputs!$B$14+Inputs!$B$15+Inputs!$B$16+Inputs!$B$17))</f>
        <v/>
      </c>
    </row>
    <row r="26">
      <c r="A26" s="49" t="n">
        <v>2000</v>
      </c>
      <c r="B26" s="47">
        <f>A26*$B$6</f>
        <v/>
      </c>
      <c r="C26" s="51">
        <f>IF($B$12="Yes",$B$11,0)+IF(B26&lt;25000,$B$7,IF(B26&lt;75000,$B$8,IF(B26&lt;150000,$B$9,$B$10)))</f>
        <v/>
      </c>
      <c r="D26" s="52">
        <f>ROUND(A26*(C26/(1-C26)),0)</f>
        <v/>
      </c>
      <c r="E26" s="52">
        <f>A26+D26</f>
        <v/>
      </c>
      <c r="F26" s="47">
        <f>E26*$B$6</f>
        <v/>
      </c>
      <c r="G26" s="53">
        <f>IF(A26=0,0,E26/A26)</f>
        <v/>
      </c>
      <c r="H26" s="47">
        <f>D26*($B$6*(1-Inputs!$B$10-Inputs!$B$11-Inputs!$B$12)-(Inputs!$B$14+Inputs!$B$15+Inputs!$B$16+Inputs!$B$17))</f>
        <v/>
      </c>
    </row>
    <row r="27">
      <c r="A27" s="49" t="n">
        <v>2500</v>
      </c>
      <c r="B27" s="47">
        <f>A27*$B$6</f>
        <v/>
      </c>
      <c r="C27" s="51">
        <f>IF($B$12="Yes",$B$11,0)+IF(B27&lt;25000,$B$7,IF(B27&lt;75000,$B$8,IF(B27&lt;150000,$B$9,$B$10)))</f>
        <v/>
      </c>
      <c r="D27" s="52">
        <f>ROUND(A27*(C27/(1-C27)),0)</f>
        <v/>
      </c>
      <c r="E27" s="52">
        <f>A27+D27</f>
        <v/>
      </c>
      <c r="F27" s="47">
        <f>E27*$B$6</f>
        <v/>
      </c>
      <c r="G27" s="53">
        <f>IF(A27=0,0,E27/A27)</f>
        <v/>
      </c>
      <c r="H27" s="47">
        <f>D27*($B$6*(1-Inputs!$B$10-Inputs!$B$11-Inputs!$B$12)-(Inputs!$B$14+Inputs!$B$15+Inputs!$B$16+Inputs!$B$17))</f>
        <v/>
      </c>
    </row>
    <row r="28">
      <c r="A28" s="49" t="n">
        <v>3000</v>
      </c>
      <c r="B28" s="47">
        <f>A28*$B$6</f>
        <v/>
      </c>
      <c r="C28" s="51">
        <f>IF($B$12="Yes",$B$11,0)+IF(B28&lt;25000,$B$7,IF(B28&lt;75000,$B$8,IF(B28&lt;150000,$B$9,$B$10)))</f>
        <v/>
      </c>
      <c r="D28" s="52">
        <f>ROUND(A28*(C28/(1-C28)),0)</f>
        <v/>
      </c>
      <c r="E28" s="52">
        <f>A28+D28</f>
        <v/>
      </c>
      <c r="F28" s="47">
        <f>E28*$B$6</f>
        <v/>
      </c>
      <c r="G28" s="53">
        <f>IF(A28=0,0,E28/A28)</f>
        <v/>
      </c>
      <c r="H28" s="47">
        <f>D28*($B$6*(1-Inputs!$B$10-Inputs!$B$11-Inputs!$B$12)-(Inputs!$B$14+Inputs!$B$15+Inputs!$B$16+Inputs!$B$17))</f>
        <v/>
      </c>
    </row>
    <row r="31">
      <c r="A31" s="43" t="inlineStr">
        <is>
          <t>DANNY FUNNEL + YOUR MARKETING → PROJECTED ORGANIC GROWTH</t>
        </is>
      </c>
    </row>
    <row r="32">
      <c r="A32" s="46" t="inlineStr">
        <is>
          <t>Source</t>
        </is>
      </c>
      <c r="B32" s="50" t="inlineStr">
        <is>
          <t>Backers (creator)</t>
        </is>
      </c>
      <c r="C32" s="50" t="inlineStr">
        <is>
          <t>Organic Boost</t>
        </is>
      </c>
      <c r="D32" s="50" t="inlineStr">
        <is>
          <t>Total Backers</t>
        </is>
      </c>
      <c r="E32" s="50" t="inlineStr">
        <is>
          <t>Gross Funding</t>
        </is>
      </c>
      <c r="F32" s="50" t="inlineStr">
        <is>
          <t>vs Budget Break-even</t>
        </is>
      </c>
    </row>
    <row r="33">
      <c r="A33" s="46" t="inlineStr">
        <is>
          <t>Current baseline</t>
        </is>
      </c>
      <c r="B33" s="52">
        <f>Scenarios!M25</f>
        <v/>
      </c>
      <c r="C33" s="51">
        <f>IF($B$12="Yes",$B$11,0)+IF(B33*$B$6&lt;25000,$B$7,IF(B33*$B$6&lt;75000,$B$8,IF(B33*$B$6&lt;150000,$B$9,$B$10)))</f>
        <v/>
      </c>
      <c r="D33" s="52">
        <f>ROUND(B33/(1-C33),0)</f>
        <v/>
      </c>
      <c r="E33" s="47">
        <f>D33*$B$6</f>
        <v/>
      </c>
      <c r="F33" s="54">
        <f>E33-40000</f>
        <v/>
      </c>
    </row>
    <row r="34">
      <c r="A34" s="46" t="inlineStr">
        <is>
          <t>Moderate growth</t>
        </is>
      </c>
      <c r="B34" s="52">
        <f>Scenarios!M26</f>
        <v/>
      </c>
      <c r="C34" s="51">
        <f>IF($B$12="Yes",$B$11,0)+IF(B34*$B$6&lt;25000,$B$7,IF(B34*$B$6&lt;75000,$B$8,IF(B34*$B$6&lt;150000,$B$9,$B$10)))</f>
        <v/>
      </c>
      <c r="D34" s="52">
        <f>ROUND(B34/(1-C34),0)</f>
        <v/>
      </c>
      <c r="E34" s="47">
        <f>D34*$B$6</f>
        <v/>
      </c>
      <c r="F34" s="54">
        <f>E34-40000</f>
        <v/>
      </c>
    </row>
    <row r="35">
      <c r="A35" s="46" t="inlineStr">
        <is>
          <t>Strong pre-launch</t>
        </is>
      </c>
      <c r="B35" s="52">
        <f>Scenarios!M27</f>
        <v/>
      </c>
      <c r="C35" s="51">
        <f>IF($B$12="Yes",$B$11,0)+IF(B35*$B$6&lt;25000,$B$7,IF(B35*$B$6&lt;75000,$B$8,IF(B35*$B$6&lt;150000,$B$9,$B$10)))</f>
        <v/>
      </c>
      <c r="D35" s="52">
        <f>ROUND(B35/(1-C35),0)</f>
        <v/>
      </c>
      <c r="E35" s="47">
        <f>D35*$B$6</f>
        <v/>
      </c>
      <c r="F35" s="54">
        <f>E35-40000</f>
        <v/>
      </c>
    </row>
    <row r="36">
      <c r="A36" s="46" t="inlineStr">
        <is>
          <t>Aggressive marketing</t>
        </is>
      </c>
      <c r="B36" s="52">
        <f>Scenarios!M28</f>
        <v/>
      </c>
      <c r="C36" s="51">
        <f>IF($B$12="Yes",$B$11,0)+IF(B36*$B$6&lt;25000,$B$7,IF(B36*$B$6&lt;75000,$B$8,IF(B36*$B$6&lt;150000,$B$9,$B$10)))</f>
        <v/>
      </c>
      <c r="D36" s="52">
        <f>ROUND(B36/(1-C36),0)</f>
        <v/>
      </c>
      <c r="E36" s="47">
        <f>D36*$B$6</f>
        <v/>
      </c>
      <c r="F36" s="54">
        <f>E36-40000</f>
        <v/>
      </c>
    </row>
    <row r="37">
      <c r="A37" s="46" t="inlineStr">
        <is>
          <t>Danny leverage play</t>
        </is>
      </c>
      <c r="B37" s="52">
        <f>Scenarios!M29</f>
        <v/>
      </c>
      <c r="C37" s="51">
        <f>IF($B$12="Yes",$B$11,0)+IF(B37*$B$6&lt;25000,$B$7,IF(B37*$B$6&lt;75000,$B$8,IF(B37*$B$6&lt;150000,$B$9,$B$10)))</f>
        <v/>
      </c>
      <c r="D37" s="52">
        <f>ROUND(B37/(1-C37),0)</f>
        <v/>
      </c>
      <c r="E37" s="47">
        <f>D37*$B$6</f>
        <v/>
      </c>
      <c r="F37" s="54">
        <f>E37-40000</f>
        <v/>
      </c>
    </row>
    <row r="38">
      <c r="A38" s="46" t="inlineStr">
        <is>
          <t>Home run</t>
        </is>
      </c>
      <c r="B38" s="52">
        <f>Scenarios!M30</f>
        <v/>
      </c>
      <c r="C38" s="51">
        <f>IF($B$12="Yes",$B$11,0)+IF(B38*$B$6&lt;25000,$B$7,IF(B38*$B$6&lt;75000,$B$8,IF(B38*$B$6&lt;150000,$B$9,$B$10)))</f>
        <v/>
      </c>
      <c r="D38" s="52">
        <f>ROUND(B38/(1-C38),0)</f>
        <v/>
      </c>
      <c r="E38" s="47">
        <f>D38*$B$6</f>
        <v/>
      </c>
      <c r="F38" s="54">
        <f>E38-40000</f>
        <v/>
      </c>
    </row>
    <row r="40">
      <c r="A40" s="44" t="inlineStr">
        <is>
          <t>Break-even target: ~$35K-$40K gross KS funding (~1,100 backers)</t>
        </is>
      </c>
    </row>
    <row r="42">
      <c r="A42" s="43" t="inlineStr">
        <is>
          <t>TYPICAL KS FUNDING CURVE (% of total by phase)</t>
        </is>
      </c>
    </row>
    <row r="43">
      <c r="A43" s="50" t="inlineStr">
        <is>
          <t>Campaign Phase</t>
        </is>
      </c>
      <c r="B43" s="50" t="inlineStr">
        <is>
          <t>Days</t>
        </is>
      </c>
      <c r="C43" s="50" t="inlineStr">
        <is>
          <t>% of Total Funding</t>
        </is>
      </c>
      <c r="D43" s="50" t="inlineStr">
        <is>
          <t>Cumulative %</t>
        </is>
      </c>
      <c r="E43" s="50" t="inlineStr">
        <is>
          <t>Notes</t>
        </is>
      </c>
    </row>
    <row r="44">
      <c r="A44" s="46" t="inlineStr">
        <is>
          <t>Launch day (Day 1)</t>
        </is>
      </c>
      <c r="B44" s="46" t="inlineStr">
        <is>
          <t>1</t>
        </is>
      </c>
      <c r="C44" s="55" t="n">
        <v>0.2</v>
      </c>
      <c r="D44" s="56">
        <f>SUM($C$44:C44)</f>
        <v/>
      </c>
      <c r="E44" s="44" t="inlineStr">
        <is>
          <t>Biggest single day — email list + followers convert</t>
        </is>
      </c>
    </row>
    <row r="45">
      <c r="A45" s="46" t="inlineStr">
        <is>
          <t>Early momentum (Days 2-3)</t>
        </is>
      </c>
      <c r="B45" s="46" t="inlineStr">
        <is>
          <t>2</t>
        </is>
      </c>
      <c r="C45" s="55" t="n">
        <v>0.12</v>
      </c>
      <c r="D45" s="56">
        <f>SUM($C$44:C45)</f>
        <v/>
      </c>
      <c r="E45" s="44" t="inlineStr">
        <is>
          <t>Word of mouth, social shares</t>
        </is>
      </c>
    </row>
    <row r="46">
      <c r="A46" s="46" t="inlineStr">
        <is>
          <t>First week (Days 4-7)</t>
        </is>
      </c>
      <c r="B46" s="46" t="inlineStr">
        <is>
          <t>4</t>
        </is>
      </c>
      <c r="C46" s="55" t="n">
        <v>0.08</v>
      </c>
      <c r="D46" s="56">
        <f>SUM($C$44:C46)</f>
        <v/>
      </c>
      <c r="E46" s="44" t="inlineStr">
        <is>
          <t>Algorithm starts noticing if funded fast</t>
        </is>
      </c>
    </row>
    <row r="47">
      <c r="A47" s="46" t="inlineStr">
        <is>
          <t>Mid-campaign lull (Days 8-21)</t>
        </is>
      </c>
      <c r="B47" s="46" t="inlineStr">
        <is>
          <t>14</t>
        </is>
      </c>
      <c r="C47" s="55" t="n">
        <v>0.15</v>
      </c>
      <c r="D47" s="56">
        <f>SUM($C$44:C47)</f>
        <v/>
      </c>
      <c r="E47" s="44" t="inlineStr">
        <is>
          <t>The "dead zone" — stretch goals help</t>
        </is>
      </c>
    </row>
    <row r="48">
      <c r="A48" s="46" t="inlineStr">
        <is>
          <t>Late push (Days 22-28)</t>
        </is>
      </c>
      <c r="B48" s="46" t="inlineStr">
        <is>
          <t>7</t>
        </is>
      </c>
      <c r="C48" s="55" t="n">
        <v>0.15</v>
      </c>
      <c r="D48" s="56">
        <f>SUM($C$44:C48)</f>
        <v/>
      </c>
      <c r="E48" s="44" t="inlineStr">
        <is>
          <t>FOMO kicks in, organic browse picks up</t>
        </is>
      </c>
    </row>
    <row r="49">
      <c r="A49" s="46" t="inlineStr">
        <is>
          <t>Final 48 hours</t>
        </is>
      </c>
      <c r="B49" s="46" t="inlineStr">
        <is>
          <t>2</t>
        </is>
      </c>
      <c r="C49" s="55" t="n">
        <v>0.2</v>
      </c>
      <c r="D49" s="56">
        <f>SUM($C$44:C49)</f>
        <v/>
      </c>
      <c r="E49" s="44" t="inlineStr">
        <is>
          <t>Urgency surge — biggest organic period</t>
        </is>
      </c>
    </row>
    <row r="50">
      <c r="A50" s="46" t="inlineStr">
        <is>
          <t>Last-minute (final hours)</t>
        </is>
      </c>
      <c r="B50" s="46" t="inlineStr">
        <is>
          <t>&lt;1</t>
        </is>
      </c>
      <c r="C50" s="55" t="n">
        <v>0.1</v>
      </c>
      <c r="D50" s="56">
        <f>SUM($C$44:C50)</f>
        <v/>
      </c>
      <c r="E50" s="44" t="inlineStr">
        <is>
          <t>Panic pledges + algorithm final push</t>
        </is>
      </c>
    </row>
    <row r="51">
      <c r="A51" s="46" t="inlineStr">
        <is>
          <t>Total</t>
        </is>
      </c>
      <c r="C51" s="56">
        <f>SUM(C44:C50)</f>
        <v/>
      </c>
      <c r="E51" s="44" t="inlineStr">
        <is>
          <t>Should sum to 100%</t>
        </is>
      </c>
    </row>
  </sheetData>
  <mergeCells count="5">
    <mergeCell ref="A5:D5"/>
    <mergeCell ref="A14:I14"/>
    <mergeCell ref="A1:H1"/>
    <mergeCell ref="A31:H31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/>
    <pageSetUpPr/>
  </sheetPr>
  <dimension ref="A1:Q45"/>
  <sheetViews>
    <sheetView tabSelected="1" zoomScaleNormal="100" workbookViewId="0">
      <selection activeCell="C6" sqref="C6"/>
    </sheetView>
  </sheetViews>
  <sheetFormatPr baseColWidth="10" defaultColWidth="12.6640625" defaultRowHeight="15.75" customHeight="1"/>
  <cols>
    <col width="11.33203125" customWidth="1" style="40" min="1" max="1"/>
    <col width="10.83203125" customWidth="1" style="40" min="2" max="2"/>
    <col width="19.1640625" customWidth="1" style="40" min="3" max="3"/>
    <col width="19.33203125" customWidth="1" style="40" min="4" max="4"/>
    <col width="20.1640625" customWidth="1" style="40" min="5" max="5"/>
    <col width="17.5" customWidth="1" style="40" min="6" max="6"/>
    <col width="34" customWidth="1" style="40" min="7" max="7"/>
    <col width="14" customWidth="1" style="40" min="8" max="12"/>
    <col width="16" customWidth="1" style="40" min="13" max="13"/>
  </cols>
  <sheetData>
    <row r="1" ht="15.75" customHeight="1" s="40">
      <c r="A1" s="1" t="inlineStr">
        <is>
          <t>Gross funding</t>
        </is>
      </c>
      <c r="B1" s="1" t="inlineStr">
        <is>
          <t>Backers (est)</t>
        </is>
      </c>
      <c r="C1" s="1" t="inlineStr">
        <is>
          <t>Gross rev / backer</t>
        </is>
      </c>
      <c r="D1" s="1" t="inlineStr">
        <is>
          <t>Fees (KS+proc+refunds)</t>
        </is>
      </c>
      <c r="E1" s="1" t="inlineStr">
        <is>
          <t>Net after fees</t>
        </is>
      </c>
      <c r="F1" s="1" t="inlineStr">
        <is>
          <t>Variable Cost / Backer</t>
        </is>
      </c>
      <c r="G1" s="1" t="inlineStr">
        <is>
          <t>Total Variable Costs</t>
        </is>
      </c>
      <c r="H1" s="1" t="inlineStr">
        <is>
          <t>Contingency Reserve</t>
        </is>
      </c>
      <c r="I1" s="1" t="inlineStr">
        <is>
          <t>Bonus Triggered?</t>
        </is>
      </c>
      <c r="J1" s="1" t="inlineStr">
        <is>
          <t>Profit after all (incl prelaunch) with MOQ</t>
        </is>
      </c>
      <c r="K1" s="1" t="inlineStr">
        <is>
          <t>ROI on prelaunch</t>
        </is>
      </c>
      <c r="L1" s="1" t="inlineStr">
        <is>
          <t>Worth it?</t>
        </is>
      </c>
      <c r="M1" s="1" t="inlineStr">
        <is>
          <t>Units Needed</t>
        </is>
      </c>
      <c r="N1" s="1" t="inlineStr">
        <is>
          <t>Units Produced (MOQ)</t>
        </is>
      </c>
      <c r="O1" s="1" t="inlineStr">
        <is>
          <t>Leftover Units</t>
        </is>
      </c>
      <c r="P1" s="1" t="inlineStr">
        <is>
          <t>Extra MOQ cost (mfg+freight)</t>
        </is>
      </c>
      <c r="Q1" s="1" t="inlineStr">
        <is>
          <t>Salvage Revenue (bulk sale)</t>
        </is>
      </c>
    </row>
    <row r="2" ht="15.75" customHeight="1" s="40">
      <c r="A2" s="1" t="n">
        <v>25000</v>
      </c>
      <c r="B2" s="3">
        <f>A2/$C$2</f>
        <v/>
      </c>
      <c r="C2" s="2">
        <f>Inputs!$B$5+Inputs!$B$6</f>
        <v/>
      </c>
      <c r="D2" s="2">
        <f>A2*(Inputs!$B$10+Inputs!$B$11+Inputs!$B$12)</f>
        <v/>
      </c>
      <c r="E2" s="2">
        <f>A2-D2</f>
        <v/>
      </c>
      <c r="F2" s="2">
        <f>Inputs!$B$14 + Inputs!$B$15
+ IF($B2&lt;=Inputs!$B$24, 0, Inputs!$B$16)
+ Inputs!$B$17</f>
        <v/>
      </c>
      <c r="G2" s="2">
        <f>$B2*$F2</f>
        <v/>
      </c>
      <c r="H2" s="2">
        <f>Inputs!$B$19*G2</f>
        <v/>
      </c>
      <c r="I2" s="2">
        <f>IF(A2&gt;=Inputs!$B$22, Inputs!$B$21, 0)</f>
        <v/>
      </c>
      <c r="J2" s="2">
        <f>E2 - G2 - H2 - Inputs!$B$3 - Inputs!$B$4 - I2 - P2 + Q2</f>
        <v/>
      </c>
      <c r="K2" s="2">
        <f>J2 / Inputs!$B$3</f>
        <v/>
      </c>
      <c r="L2" s="1">
        <f>IF(J2&gt;0,"YES","NO")</f>
        <v/>
      </c>
      <c r="M2" s="1">
        <f>ROUNDUP($B2 * Inputs!$B$27, 0)</f>
        <v/>
      </c>
      <c r="N2" s="1">
        <f>MAX(M2, Inputs!$B$26)</f>
        <v/>
      </c>
      <c r="O2" s="1">
        <f>MAX(0, N2 - M2)</f>
        <v/>
      </c>
      <c r="P2" s="2">
        <f>O2 * (Inputs!$B$14 + Inputs!$B$15)</f>
        <v/>
      </c>
      <c r="Q2" s="2">
        <f>O2 * (Inputs!$B$14 + Inputs!$B$15) * (1 + Inputs!$B$28) * IF(Inputs!$B$29="",1,Inputs!$B$29)</f>
        <v/>
      </c>
    </row>
    <row r="3" ht="15.75" customHeight="1" s="40">
      <c r="A3" s="1" t="n">
        <v>30000</v>
      </c>
      <c r="B3" s="3">
        <f>A3/$C$2</f>
        <v/>
      </c>
      <c r="C3" s="2">
        <f>Inputs!$B$5+Inputs!$B$6</f>
        <v/>
      </c>
      <c r="D3" s="2">
        <f>A3*(Inputs!$B$10+Inputs!$B$11+Inputs!$B$12)</f>
        <v/>
      </c>
      <c r="E3" s="2">
        <f>A3-D3</f>
        <v/>
      </c>
      <c r="F3" s="2">
        <f>Inputs!$B$14 + Inputs!$B$15
+ IF($B3&lt;=Inputs!$B$24, 0, Inputs!$B$16)
+ Inputs!$B$17</f>
        <v/>
      </c>
      <c r="G3" s="2">
        <f>$B3*$F3</f>
        <v/>
      </c>
      <c r="H3" s="2">
        <f>Inputs!$B$19*G3</f>
        <v/>
      </c>
      <c r="I3" s="2">
        <f>IF(A3&gt;=Inputs!$B$22, Inputs!$B$21, 0)</f>
        <v/>
      </c>
      <c r="J3" s="2">
        <f>E3 - G3 - H3 - Inputs!$B$3 - Inputs!$B$4 - I3 - P3 + Q3</f>
        <v/>
      </c>
      <c r="K3" s="2">
        <f>J3 / Inputs!$B$3</f>
        <v/>
      </c>
      <c r="L3" s="1">
        <f>IF(J3&gt;0,"YES","NO")</f>
        <v/>
      </c>
      <c r="M3" s="1">
        <f>ROUNDUP($B3 * Inputs!$B$27, 0)</f>
        <v/>
      </c>
      <c r="N3" s="1">
        <f>MAX(M3, Inputs!$B$26)</f>
        <v/>
      </c>
      <c r="O3" s="1">
        <f>MAX(0, N3 - M3)</f>
        <v/>
      </c>
      <c r="P3" s="2">
        <f>O3 * (Inputs!$B$14 + Inputs!$B$15)</f>
        <v/>
      </c>
      <c r="Q3" s="2">
        <f>O3 * (Inputs!$B$14 + Inputs!$B$15) * (1 + Inputs!$B$28) * IF(Inputs!$B$29="",1,Inputs!$B$29)</f>
        <v/>
      </c>
    </row>
    <row r="4" ht="15.75" customHeight="1" s="40">
      <c r="A4" s="1" t="n">
        <v>40000</v>
      </c>
      <c r="B4" s="3">
        <f>A4/$C4</f>
        <v/>
      </c>
      <c r="C4" s="2">
        <f>Inputs!$B$5+Inputs!$B$6</f>
        <v/>
      </c>
      <c r="D4" s="2">
        <f>A4*(Inputs!$B$10+Inputs!$B$11+Inputs!$B$12)</f>
        <v/>
      </c>
      <c r="E4" s="2">
        <f>A4-D4</f>
        <v/>
      </c>
      <c r="F4" s="2">
        <f>Inputs!$B$14 + Inputs!$B$15
+ IF($B4&lt;=Inputs!$B$24, 0, Inputs!$B$16)
+ Inputs!$B$17</f>
        <v/>
      </c>
      <c r="G4" s="2">
        <f>$B4*$F4</f>
        <v/>
      </c>
      <c r="H4" s="2">
        <f>Inputs!$B$19*G4</f>
        <v/>
      </c>
      <c r="I4" s="2">
        <f>IF(A4&gt;=Inputs!$B$22, Inputs!$B$21, 0)</f>
        <v/>
      </c>
      <c r="J4" s="2">
        <f>E4 - G4 - H4 - Inputs!$B$3 - Inputs!$B$4 - I4 - P4 + Q4</f>
        <v/>
      </c>
      <c r="K4" s="2">
        <f>J4 / Inputs!$B$3</f>
        <v/>
      </c>
      <c r="L4" s="1">
        <f>IF(J4&gt;0,"YES","NO")</f>
        <v/>
      </c>
      <c r="M4" s="1">
        <f>ROUNDUP($B4 * Inputs!$B$27, 0)</f>
        <v/>
      </c>
      <c r="N4" s="1">
        <f>MAX(M4, Inputs!$B$26)</f>
        <v/>
      </c>
      <c r="O4" s="1">
        <f>MAX(0, N4 - M4)</f>
        <v/>
      </c>
      <c r="P4" s="2">
        <f>O4 * (Inputs!$B$14 + Inputs!$B$15)</f>
        <v/>
      </c>
      <c r="Q4" s="2">
        <f>O4 * (Inputs!$B$14 + Inputs!$B$15) * (1 + Inputs!$B$28) * IF(Inputs!$B$29="",1,Inputs!$B$29)</f>
        <v/>
      </c>
    </row>
    <row r="5" ht="15.75" customHeight="1" s="40">
      <c r="A5" s="1" t="n">
        <v>49500</v>
      </c>
      <c r="B5" s="3">
        <f>A5/$C5</f>
        <v/>
      </c>
      <c r="C5" s="2">
        <f>Inputs!$B$5+Inputs!$B$6</f>
        <v/>
      </c>
      <c r="D5" s="2">
        <f>A5*(Inputs!$B$10+Inputs!$B$11+Inputs!$B$12)</f>
        <v/>
      </c>
      <c r="E5" s="2">
        <f>A5-D5</f>
        <v/>
      </c>
      <c r="F5" s="2">
        <f>Inputs!$B$14 + Inputs!$B$15
+ IF($B5&lt;=Inputs!$B$24, 0, Inputs!$B$16)
+ Inputs!$B$17</f>
        <v/>
      </c>
      <c r="G5" s="2">
        <f>$B5*$F5</f>
        <v/>
      </c>
      <c r="H5" s="2">
        <f>Inputs!$B$19*G5</f>
        <v/>
      </c>
      <c r="I5" s="2">
        <f>IF(A5&gt;=Inputs!$B$22, Inputs!$B$21, 0)</f>
        <v/>
      </c>
      <c r="J5" s="2">
        <f>E5 - G5 - H5 - Inputs!$B$3 - Inputs!$B$4 - I5 - P5 + Q5</f>
        <v/>
      </c>
      <c r="K5" s="2">
        <f>J5 / Inputs!$B$3</f>
        <v/>
      </c>
      <c r="L5" s="1">
        <f>IF(J5&gt;0,"YES","NO")</f>
        <v/>
      </c>
      <c r="M5" s="1">
        <f>ROUNDUP($B5 * Inputs!$B$27, 0)</f>
        <v/>
      </c>
      <c r="N5" s="1">
        <f>MAX(M5, Inputs!$B$26)</f>
        <v/>
      </c>
      <c r="O5" s="1">
        <f>MAX(0, N5 - M5)</f>
        <v/>
      </c>
      <c r="P5" s="2">
        <f>O5 * (Inputs!$B$14 + Inputs!$B$15)</f>
        <v/>
      </c>
      <c r="Q5" s="2">
        <f>O5 * (Inputs!$B$14 + Inputs!$B$15) * (1 + Inputs!$B$28) * IF(Inputs!$B$29="",1,Inputs!$B$29)</f>
        <v/>
      </c>
    </row>
    <row r="6" ht="15.75" customHeight="1" s="40">
      <c r="A6" s="1" t="n">
        <v>60000</v>
      </c>
      <c r="B6" s="3">
        <f>A6/$C6</f>
        <v/>
      </c>
      <c r="C6" s="2">
        <f>Inputs!$B$5+Inputs!$B$6</f>
        <v/>
      </c>
      <c r="D6" s="2">
        <f>A6*(Inputs!$B$10+Inputs!$B$11+Inputs!$B$12)</f>
        <v/>
      </c>
      <c r="E6" s="2">
        <f>A6-D6</f>
        <v/>
      </c>
      <c r="F6" s="2">
        <f>Inputs!$B$14 + Inputs!$B$15
+ IF($B6&lt;=Inputs!$B$24, 0, Inputs!$B$16)
+ Inputs!$B$17</f>
        <v/>
      </c>
      <c r="G6" s="2">
        <f>$B6*$F6</f>
        <v/>
      </c>
      <c r="H6" s="2">
        <f>Inputs!$B$19*G6</f>
        <v/>
      </c>
      <c r="I6" s="2">
        <f>IF(A6&gt;=Inputs!$B$22, Inputs!$B$21, 0)</f>
        <v/>
      </c>
      <c r="J6" s="2">
        <f>E6 - G6 - H6 - Inputs!$B$3 - Inputs!$B$4 - I6 - P6 + Q6</f>
        <v/>
      </c>
      <c r="K6" s="2">
        <f>J6 / Inputs!$B$3</f>
        <v/>
      </c>
      <c r="L6" s="1">
        <f>IF(J6&gt;0,"YES","NO")</f>
        <v/>
      </c>
      <c r="M6" s="1">
        <f>ROUNDUP($B6 * Inputs!$B$27, 0)</f>
        <v/>
      </c>
      <c r="N6" s="1">
        <f>MAX(M6, Inputs!$B$26)</f>
        <v/>
      </c>
      <c r="O6" s="1">
        <f>MAX(0, N6 - M6)</f>
        <v/>
      </c>
      <c r="P6" s="2">
        <f>O6 * (Inputs!$B$14 + Inputs!$B$15)</f>
        <v/>
      </c>
      <c r="Q6" s="2">
        <f>O6 * (Inputs!$B$14 + Inputs!$B$15) * (1 + Inputs!$B$28) * IF(Inputs!$B$29="",1,Inputs!$B$29)</f>
        <v/>
      </c>
    </row>
    <row r="7" ht="15.75" customHeight="1" s="40">
      <c r="A7" s="1" t="n">
        <v>75000</v>
      </c>
      <c r="B7" s="3">
        <f>A7/$C7</f>
        <v/>
      </c>
      <c r="C7" s="2">
        <f>Inputs!$B$5+Inputs!$B$6</f>
        <v/>
      </c>
      <c r="D7" s="2">
        <f>A7*(Inputs!$B$10+Inputs!$B$11+Inputs!$B$12)</f>
        <v/>
      </c>
      <c r="E7" s="2">
        <f>A7-D7</f>
        <v/>
      </c>
      <c r="F7" s="2">
        <f>Inputs!$B$14 + Inputs!$B$15
+ IF($B7&lt;=Inputs!$B$24, 0, Inputs!$B$16)
+ Inputs!$B$17</f>
        <v/>
      </c>
      <c r="G7" s="2">
        <f>$B7*$F7</f>
        <v/>
      </c>
      <c r="H7" s="2">
        <f>Inputs!$B$19*G7</f>
        <v/>
      </c>
      <c r="I7" s="2">
        <f>IF(A7&gt;=Inputs!$B$22, Inputs!$B$21, 0)</f>
        <v/>
      </c>
      <c r="J7" s="2">
        <f>E7 - G7 - H7 - Inputs!$B$3 - Inputs!$B$4 - I7 - P7 + Q7</f>
        <v/>
      </c>
      <c r="K7" s="2">
        <f>J7 / Inputs!$B$3</f>
        <v/>
      </c>
      <c r="L7" s="1">
        <f>IF(J7&gt;0,"YES","NO")</f>
        <v/>
      </c>
      <c r="M7" s="1">
        <f>ROUNDUP($B7 * Inputs!$B$27, 0)</f>
        <v/>
      </c>
      <c r="N7" s="1">
        <f>MAX(M7, Inputs!$B$26)</f>
        <v/>
      </c>
      <c r="O7" s="1">
        <f>MAX(0, N7 - M7)</f>
        <v/>
      </c>
      <c r="P7" s="2">
        <f>O7 * (Inputs!$B$14 + Inputs!$B$15)</f>
        <v/>
      </c>
      <c r="Q7" s="2">
        <f>O7 * (Inputs!$B$14 + Inputs!$B$15) * (1 + Inputs!$B$28) * IF(Inputs!$B$29="",1,Inputs!$B$29)</f>
        <v/>
      </c>
    </row>
    <row r="8" ht="15.75" customHeight="1" s="40">
      <c r="A8" s="1" t="n">
        <v>100000</v>
      </c>
      <c r="B8" s="3">
        <f>A8/$C8</f>
        <v/>
      </c>
      <c r="C8" s="2">
        <f>Inputs!$B$5+Inputs!$B$6</f>
        <v/>
      </c>
      <c r="D8" s="2">
        <f>A8*(Inputs!$B$10+Inputs!$B$11+Inputs!$B$12)</f>
        <v/>
      </c>
      <c r="E8" s="2">
        <f>A8-D8</f>
        <v/>
      </c>
      <c r="F8" s="2">
        <f>Inputs!$B$14 + Inputs!$B$15
+ IF($B8&lt;=Inputs!$B$24, 0, Inputs!$B$16)
+ Inputs!$B$17</f>
        <v/>
      </c>
      <c r="G8" s="2">
        <f>$B8*$F8</f>
        <v/>
      </c>
      <c r="H8" s="2">
        <f>Inputs!$B$19*G8</f>
        <v/>
      </c>
      <c r="I8" s="2">
        <f>IF(A8&gt;=Inputs!$B$22, Inputs!$B$21, 0)</f>
        <v/>
      </c>
      <c r="J8" s="2">
        <f>E8 - G8 - H8 - Inputs!$B$3 - Inputs!$B$4 - I8 - P8 + Q8</f>
        <v/>
      </c>
      <c r="K8" s="2">
        <f>J8 / Inputs!$B$3</f>
        <v/>
      </c>
      <c r="L8" s="1">
        <f>IF(J8&gt;0,"YES","NO")</f>
        <v/>
      </c>
      <c r="M8" s="1">
        <f>ROUNDUP($B8 * Inputs!$B$27, 0)</f>
        <v/>
      </c>
      <c r="N8" s="1">
        <f>MAX(M8, Inputs!$B$26)</f>
        <v/>
      </c>
      <c r="O8" s="1">
        <f>MAX(0, N8 - M8)</f>
        <v/>
      </c>
      <c r="P8" s="2">
        <f>O8 * (Inputs!$B$14 + Inputs!$B$15)</f>
        <v/>
      </c>
      <c r="Q8" s="2">
        <f>O8 * (Inputs!$B$14 + Inputs!$B$15) * (1 + Inputs!$B$28) * IF(Inputs!$B$29="",1,Inputs!$B$29)</f>
        <v/>
      </c>
    </row>
    <row r="9" ht="15.75" customHeight="1" s="40">
      <c r="A9" s="1" t="n">
        <v>150000</v>
      </c>
      <c r="B9" s="3">
        <f>A9/$C9</f>
        <v/>
      </c>
      <c r="C9" s="2">
        <f>Inputs!$B$5+Inputs!$B$6</f>
        <v/>
      </c>
      <c r="D9" s="2">
        <f>A9*(Inputs!$B$10+Inputs!$B$11+Inputs!$B$12)</f>
        <v/>
      </c>
      <c r="E9" s="2">
        <f>A9-D9</f>
        <v/>
      </c>
      <c r="F9" s="2">
        <f>Inputs!$B$14 + Inputs!$B$15
+ IF($B9&lt;=Inputs!$B$24, 0, Inputs!$B$16)
+ Inputs!$B$17</f>
        <v/>
      </c>
      <c r="G9" s="2">
        <f>$B9*$F9</f>
        <v/>
      </c>
      <c r="H9" s="2">
        <f>Inputs!$B$19*G9</f>
        <v/>
      </c>
      <c r="I9" s="2">
        <f>IF(A9&gt;=Inputs!$B$22, Inputs!$B$21, 0)</f>
        <v/>
      </c>
      <c r="J9" s="2">
        <f>E9 - G9 - H9 - Inputs!$B$3 - Inputs!$B$4 - I9 - P9 + Q9</f>
        <v/>
      </c>
      <c r="K9" s="2">
        <f>J9 / Inputs!$B$3</f>
        <v/>
      </c>
      <c r="L9" s="1">
        <f>IF(J9&gt;0,"YES","NO")</f>
        <v/>
      </c>
      <c r="M9" s="1">
        <f>ROUNDUP($B9 * Inputs!$B$27, 0)</f>
        <v/>
      </c>
      <c r="N9" s="1">
        <f>MAX(M9, Inputs!$B$26)</f>
        <v/>
      </c>
      <c r="O9" s="1">
        <f>MAX(0, N9 - M9)</f>
        <v/>
      </c>
      <c r="P9" s="2">
        <f>O9 * (Inputs!$B$14 + Inputs!$B$15)</f>
        <v/>
      </c>
      <c r="Q9" s="2">
        <f>O9 * (Inputs!$B$14 + Inputs!$B$15) * (1 + Inputs!$B$28) * IF(Inputs!$B$29="",1,Inputs!$B$29)</f>
        <v/>
      </c>
    </row>
    <row r="10" ht="15.75" customHeight="1" s="40">
      <c r="A10" s="1" t="n">
        <v>200000</v>
      </c>
      <c r="B10" s="3">
        <f>A10/$C10</f>
        <v/>
      </c>
      <c r="C10" s="2">
        <f>Inputs!$B$5+Inputs!$B$6</f>
        <v/>
      </c>
      <c r="D10" s="2">
        <f>A10*(Inputs!$B$10+Inputs!$B$11+Inputs!$B$12)</f>
        <v/>
      </c>
      <c r="E10" s="2">
        <f>A10-D10</f>
        <v/>
      </c>
      <c r="F10" s="2">
        <f>Inputs!$B$14 + Inputs!$B$15
+ IF($B10&lt;=Inputs!$B$24, 0, Inputs!$B$16)
+ Inputs!$B$17</f>
        <v/>
      </c>
      <c r="G10" s="2">
        <f>$B10*$F10</f>
        <v/>
      </c>
      <c r="H10" s="2">
        <f>Inputs!$B$19*G10</f>
        <v/>
      </c>
      <c r="I10" s="2">
        <f>IF(A10&gt;=Inputs!$B$22, Inputs!$B$21, 0)</f>
        <v/>
      </c>
      <c r="J10" s="2">
        <f>E10 - G10 - H10 - Inputs!$B$3 - Inputs!$B$4 - I10 - P10 + Q10</f>
        <v/>
      </c>
      <c r="K10" s="2">
        <f>J10 / Inputs!$B$3</f>
        <v/>
      </c>
      <c r="L10" s="1">
        <f>IF(J10&gt;0,"YES","NO")</f>
        <v/>
      </c>
      <c r="M10" s="1">
        <f>ROUNDUP($B10 * Inputs!$B$27, 0)</f>
        <v/>
      </c>
      <c r="N10" s="1">
        <f>MAX(M10, Inputs!$B$26)</f>
        <v/>
      </c>
      <c r="O10" s="1">
        <f>MAX(0, N10 - M10)</f>
        <v/>
      </c>
      <c r="P10" s="2">
        <f>O10 * (Inputs!$B$14 + Inputs!$B$15)</f>
        <v/>
      </c>
      <c r="Q10" s="2">
        <f>O10 * (Inputs!$B$14 + Inputs!$B$15) * (1 + Inputs!$B$28) * IF(Inputs!$B$29="",1,Inputs!$B$29)</f>
        <v/>
      </c>
    </row>
    <row r="15" ht="15.75" customHeight="1" s="40">
      <c r="B15" s="1" t="inlineStr">
        <is>
          <t>Backers (est)</t>
        </is>
      </c>
      <c r="C15" s="1" t="inlineStr">
        <is>
          <t>Shipping Collected Later</t>
        </is>
      </c>
      <c r="D15" s="1" t="inlineStr">
        <is>
          <t>Shipping Cost Later</t>
        </is>
      </c>
      <c r="E15" s="1" t="inlineStr">
        <is>
          <t>Shipping Surplus/Shortfall</t>
        </is>
      </c>
      <c r="G15" s="1" t="inlineStr">
        <is>
          <t>Email List Size</t>
        </is>
      </c>
      <c r="H15" s="1" t="n">
        <v>2000</v>
      </c>
    </row>
    <row r="16" ht="15.75" customHeight="1" s="40">
      <c r="B16" s="3" t="n">
        <v>625</v>
      </c>
      <c r="C16" s="2">
        <f>B16*Inputs!$B$7</f>
        <v/>
      </c>
      <c r="D16" s="2">
        <f>B16*Inputs!$B$8</f>
        <v/>
      </c>
      <c r="E16" s="2">
        <f>C16-D16</f>
        <v/>
      </c>
      <c r="G16" s="1" t="inlineStr">
        <is>
          <t>Email -&gt; Backer Conversion %</t>
        </is>
      </c>
      <c r="H16" s="1" t="n">
        <v>0.01</v>
      </c>
    </row>
    <row r="17" ht="15.75" customHeight="1" s="40">
      <c r="B17" s="3" t="n">
        <v>1000</v>
      </c>
      <c r="C17" s="2">
        <f>B17*Inputs!$B$7</f>
        <v/>
      </c>
      <c r="D17" s="2">
        <f>B17*Inputs!$B$8</f>
        <v/>
      </c>
      <c r="E17" s="2">
        <f>C17-D17</f>
        <v/>
      </c>
      <c r="G17" s="1" t="inlineStr">
        <is>
          <t>KS Followers</t>
        </is>
      </c>
      <c r="H17" s="1" t="n">
        <v>500</v>
      </c>
    </row>
    <row r="18" ht="15.75" customHeight="1" s="40">
      <c r="B18" s="3" t="n">
        <v>1500</v>
      </c>
      <c r="C18" s="2">
        <f>B18*Inputs!$B$7</f>
        <v/>
      </c>
      <c r="D18" s="2">
        <f>B18*Inputs!$B$8</f>
        <v/>
      </c>
      <c r="E18" s="2">
        <f>C18-D18</f>
        <v/>
      </c>
      <c r="G18" s="1" t="inlineStr">
        <is>
          <t>Follower -&gt; Backer Conversion %</t>
        </is>
      </c>
      <c r="H18" s="1" t="n">
        <v>0.5</v>
      </c>
    </row>
    <row r="19" ht="15.75" customHeight="1" s="40">
      <c r="B19" s="3" t="n">
        <v>1875</v>
      </c>
      <c r="C19" s="2">
        <f>B19*Inputs!$B$7</f>
        <v/>
      </c>
      <c r="D19" s="2">
        <f>B19*Inputs!$B$8</f>
        <v/>
      </c>
      <c r="E19" s="2">
        <f>C19-D19</f>
        <v/>
      </c>
      <c r="G19" s="1" t="inlineStr">
        <is>
          <t>Other Sources Backers</t>
        </is>
      </c>
      <c r="H19" s="1" t="n">
        <v>100</v>
      </c>
    </row>
    <row r="20" ht="15.75" customHeight="1" s="40">
      <c r="B20" s="3" t="n">
        <v>2500</v>
      </c>
      <c r="C20" s="2">
        <f>B20*Inputs!$B$7</f>
        <v/>
      </c>
      <c r="D20" s="2">
        <f>B20*Inputs!$B$8</f>
        <v/>
      </c>
      <c r="E20" s="2">
        <f>C20-D20</f>
        <v/>
      </c>
      <c r="G20" s="1" t="inlineStr">
        <is>
          <t>Expected Backers</t>
        </is>
      </c>
      <c r="H20" s="1">
        <f>H15*H16+H17*H18+H19</f>
        <v/>
      </c>
    </row>
    <row r="21" ht="15.75" customHeight="1" s="40">
      <c r="B21" s="3" t="n">
        <v>3750</v>
      </c>
      <c r="C21" s="2">
        <f>B21*Inputs!$B$7</f>
        <v/>
      </c>
      <c r="D21" s="2">
        <f>B21*Inputs!$B$8</f>
        <v/>
      </c>
      <c r="E21" s="2">
        <f>C21-D21</f>
        <v/>
      </c>
      <c r="G21" s="1" t="inlineStr">
        <is>
          <t>Total Backers over KS Campaign</t>
        </is>
      </c>
      <c r="H21" s="1">
        <f>H20*1.6</f>
        <v/>
      </c>
    </row>
    <row r="22" ht="15.75" customHeight="1" s="40">
      <c r="B22" s="3" t="n">
        <v>5000</v>
      </c>
      <c r="C22" s="2">
        <f>B22*Inputs!$B$7</f>
        <v/>
      </c>
      <c r="D22" s="2">
        <f>B22*Inputs!$B$8</f>
        <v/>
      </c>
      <c r="E22" s="2">
        <f>C22-D22</f>
        <v/>
      </c>
    </row>
    <row r="23" ht="15.75" customHeight="1" s="40">
      <c r="G23" s="42" t="inlineStr">
        <is>
          <t>BACKER CONVERSION SCENARIOS</t>
        </is>
      </c>
    </row>
    <row r="24" ht="23.25" customHeight="1" s="40">
      <c r="G24" s="4" t="inlineStr">
        <is>
          <t>Scenario</t>
        </is>
      </c>
      <c r="H24" s="4" t="inlineStr">
        <is>
          <t>Email List</t>
        </is>
      </c>
      <c r="I24" s="4" t="inlineStr">
        <is>
          <t>Email Conv %</t>
        </is>
      </c>
      <c r="J24" s="4" t="inlineStr">
        <is>
          <t>KS Followers</t>
        </is>
      </c>
      <c r="K24" s="4" t="inlineStr">
        <is>
          <t>Follower Conv %</t>
        </is>
      </c>
      <c r="L24" s="4" t="inlineStr">
        <is>
          <t>Other Sources</t>
        </is>
      </c>
      <c r="M24" s="4" t="inlineStr">
        <is>
          <t>Expected Backers</t>
        </is>
      </c>
    </row>
    <row r="25" ht="15.75" customHeight="1" s="40">
      <c r="G25" s="5" t="inlineStr">
        <is>
          <t>Current (baseline)</t>
        </is>
      </c>
      <c r="H25" s="6" t="n">
        <v>2000</v>
      </c>
      <c r="I25" s="7" t="n">
        <v>0.01</v>
      </c>
      <c r="J25" s="6" t="n">
        <v>500</v>
      </c>
      <c r="K25" s="7" t="n">
        <v>0.5</v>
      </c>
      <c r="L25" s="6" t="n">
        <v>100</v>
      </c>
      <c r="M25" s="8">
        <f>H25*I25+J25*K25+L25</f>
        <v/>
      </c>
    </row>
    <row r="26" ht="15.75" customHeight="1" s="40">
      <c r="G26" s="9" t="inlineStr">
        <is>
          <t>Moderate growth</t>
        </is>
      </c>
      <c r="H26" s="10" t="n">
        <v>5000</v>
      </c>
      <c r="I26" s="11" t="n">
        <v>0.03</v>
      </c>
      <c r="J26" s="10" t="n">
        <v>1000</v>
      </c>
      <c r="K26" s="11" t="n">
        <v>0.4</v>
      </c>
      <c r="L26" s="10" t="n">
        <v>150</v>
      </c>
      <c r="M26" s="8">
        <f>H26*I26+J26*K26+L26</f>
        <v/>
      </c>
    </row>
    <row r="27" ht="15.75" customHeight="1" s="40">
      <c r="G27" s="9" t="inlineStr">
        <is>
          <t>Strong pre-launch</t>
        </is>
      </c>
      <c r="H27" s="10" t="n">
        <v>5000</v>
      </c>
      <c r="I27" s="11" t="n">
        <v>0.05</v>
      </c>
      <c r="J27" s="10" t="n">
        <v>2000</v>
      </c>
      <c r="K27" s="11" t="n">
        <v>0.4</v>
      </c>
      <c r="L27" s="10" t="n">
        <v>200</v>
      </c>
      <c r="M27" s="8">
        <f>H27*I27+J27*K27+L27</f>
        <v/>
      </c>
    </row>
    <row r="28" ht="15.75" customHeight="1" s="40">
      <c r="G28" s="9" t="inlineStr">
        <is>
          <t>Aggressive marketing</t>
        </is>
      </c>
      <c r="H28" s="10" t="n">
        <v>8000</v>
      </c>
      <c r="I28" s="11" t="n">
        <v>0.05</v>
      </c>
      <c r="J28" s="10" t="n">
        <v>3000</v>
      </c>
      <c r="K28" s="11" t="n">
        <v>0.4</v>
      </c>
      <c r="L28" s="10" t="n">
        <v>200</v>
      </c>
      <c r="M28" s="8">
        <f>H28*I28+J28*K28+L28</f>
        <v/>
      </c>
    </row>
    <row r="29" ht="15.75" customHeight="1" s="40">
      <c r="G29" s="9" t="inlineStr">
        <is>
          <t>Danny leverage play</t>
        </is>
      </c>
      <c r="H29" s="10" t="n">
        <v>10000</v>
      </c>
      <c r="I29" s="11" t="n">
        <v>0.05</v>
      </c>
      <c r="J29" s="10" t="n">
        <v>3000</v>
      </c>
      <c r="K29" s="11" t="n">
        <v>0.3</v>
      </c>
      <c r="L29" s="10" t="n">
        <v>250</v>
      </c>
      <c r="M29" s="8">
        <f>H29*I29+J29*K29+L29</f>
        <v/>
      </c>
    </row>
    <row r="30" ht="15.75" customHeight="1" s="40">
      <c r="G30" s="9" t="inlineStr">
        <is>
          <t>Home run</t>
        </is>
      </c>
      <c r="H30" s="10" t="n">
        <v>15000</v>
      </c>
      <c r="I30" s="11" t="n">
        <v>0.07000000000000001</v>
      </c>
      <c r="J30" s="10" t="n">
        <v>5000</v>
      </c>
      <c r="K30" s="11" t="n">
        <v>0.3</v>
      </c>
      <c r="L30" s="10" t="n">
        <v>300</v>
      </c>
      <c r="M30" s="8">
        <f>H30*I30+J30*K30+L30</f>
        <v/>
      </c>
    </row>
    <row r="31" ht="15.75" customHeight="1" s="40">
      <c r="G31" s="12" t="inlineStr">
        <is>
          <t>Campaign multiplier (mid-campaign growth)</t>
        </is>
      </c>
      <c r="H31" s="13" t="n">
        <v>1.6</v>
      </c>
      <c r="I31" s="14" t="inlineStr">
        <is>
          <t>Typical range: 1.3x-2.0x</t>
        </is>
      </c>
    </row>
    <row r="32" ht="15.75" customHeight="1" s="40">
      <c r="G32" s="15" t="inlineStr">
        <is>
          <t>TOTAL BACKERS OVER CAMPAIGN</t>
        </is>
      </c>
      <c r="H32" s="16">
        <f>M25*$H$31</f>
        <v/>
      </c>
      <c r="I32" s="16">
        <f>M26*$H$31</f>
        <v/>
      </c>
      <c r="J32" s="16">
        <f>M27*$H$31</f>
        <v/>
      </c>
      <c r="K32" s="16">
        <f>M28*$H$31</f>
        <v/>
      </c>
      <c r="L32" s="16">
        <f>M29*$H$31</f>
        <v/>
      </c>
      <c r="M32" s="16">
        <f>M30*$H$31</f>
        <v/>
      </c>
    </row>
    <row r="33" ht="15.75" customHeight="1" s="40">
      <c r="H33" s="17" t="inlineStr">
        <is>
          <t>Current</t>
        </is>
      </c>
      <c r="I33" s="17" t="inlineStr">
        <is>
          <t>Moderate</t>
        </is>
      </c>
      <c r="J33" s="17" t="inlineStr">
        <is>
          <t>Strong</t>
        </is>
      </c>
      <c r="K33" s="17" t="inlineStr">
        <is>
          <t>Aggressive</t>
        </is>
      </c>
      <c r="L33" s="17" t="inlineStr">
        <is>
          <t>Danny Lvg</t>
        </is>
      </c>
      <c r="M33" s="17" t="inlineStr">
        <is>
          <t>Home Run</t>
        </is>
      </c>
    </row>
    <row r="35" ht="15.75" customHeight="1" s="40">
      <c r="G35" s="42" t="inlineStr">
        <is>
          <t>DANNY FOLLOWER FUNNEL</t>
        </is>
      </c>
    </row>
    <row r="36" ht="15.75" customHeight="1" s="40">
      <c r="G36" s="9" t="inlineStr">
        <is>
          <t>Danny's IG followers</t>
        </is>
      </c>
      <c r="H36" s="10" t="n">
        <v>39000</v>
      </c>
      <c r="I36" s="14" t="inlineStr">
        <is>
          <t>Current count</t>
        </is>
      </c>
    </row>
    <row r="37" ht="15.75" customHeight="1" s="40">
      <c r="G37" s="9" t="inlineStr">
        <is>
          <t>% who see a post (organic reach)</t>
        </is>
      </c>
      <c r="H37" s="11" t="n">
        <v>0.15</v>
      </c>
      <c r="I37" s="14" t="inlineStr">
        <is>
          <t>IG avg organic reach ~10-20%</t>
        </is>
      </c>
    </row>
    <row r="38" ht="15.75" customHeight="1" s="40">
      <c r="G38" s="9" t="inlineStr">
        <is>
          <t>Impressions per post</t>
        </is>
      </c>
      <c r="H38" s="18">
        <f>H36*H37</f>
        <v/>
      </c>
    </row>
    <row r="39" ht="15.75" customHeight="1" s="40">
      <c r="G39" s="9" t="inlineStr">
        <is>
          <t>% who click landing page</t>
        </is>
      </c>
      <c r="H39" s="11" t="n">
        <v>0.05</v>
      </c>
      <c r="I39" s="14" t="inlineStr">
        <is>
          <t>Strong CTA needed</t>
        </is>
      </c>
    </row>
    <row r="40" ht="15.75" customHeight="1" s="40">
      <c r="G40" s="9" t="inlineStr">
        <is>
          <t>Landing page visitors</t>
        </is>
      </c>
      <c r="H40" s="18">
        <f>H38*H39</f>
        <v/>
      </c>
    </row>
    <row r="41" ht="15.75" customHeight="1" s="40">
      <c r="G41" s="9" t="inlineStr">
        <is>
          <t>% who sign up (email)</t>
        </is>
      </c>
      <c r="H41" s="11" t="n">
        <v>0.25</v>
      </c>
      <c r="I41" s="14" t="inlineStr">
        <is>
          <t>Good LP converts 20-35%</t>
        </is>
      </c>
    </row>
    <row r="42" ht="15.75" customHeight="1" s="40">
      <c r="G42" s="9" t="inlineStr">
        <is>
          <t>Email signups from 1 Danny post</t>
        </is>
      </c>
      <c r="H42" s="18">
        <f>H40*H41</f>
        <v/>
      </c>
    </row>
    <row r="43" ht="15.75" customHeight="1" s="40">
      <c r="G43" s="9" t="inlineStr">
        <is>
          <t>Posts over 6 months</t>
        </is>
      </c>
      <c r="H43" s="10" t="n">
        <v>50</v>
      </c>
      <c r="I43" s="14" t="inlineStr">
        <is>
          <t>~2/week mentioning the game</t>
        </is>
      </c>
    </row>
    <row r="44" ht="15.75" customHeight="1" s="40">
      <c r="G44" s="9" t="inlineStr">
        <is>
          <t>Diminishing returns factor</t>
        </is>
      </c>
      <c r="H44" s="11" t="n">
        <v>0.3</v>
      </c>
      <c r="I44" s="14" t="inlineStr">
        <is>
          <t>Most convert early</t>
        </is>
      </c>
    </row>
    <row r="45" ht="15.75" customHeight="1" s="40">
      <c r="G45" s="19" t="inlineStr">
        <is>
          <t>TOTAL EMAILS FROM DANNY</t>
        </is>
      </c>
      <c r="H45" s="20">
        <f>ROUND(H42+(H43-1)*H42*H44,0)</f>
        <v/>
      </c>
    </row>
  </sheetData>
  <mergeCells count="2">
    <mergeCell ref="G35:J35"/>
    <mergeCell ref="G23:M2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0"/>
    <pageSetUpPr/>
  </sheetPr>
  <dimension ref="A1:A7"/>
  <sheetViews>
    <sheetView zoomScaleNormal="100" workbookViewId="0">
      <selection activeCell="A1" sqref="A1"/>
    </sheetView>
  </sheetViews>
  <sheetFormatPr baseColWidth="10" defaultColWidth="12.6640625" defaultRowHeight="15.75" customHeight="1"/>
  <sheetData>
    <row r="1" ht="13.5" customHeight="1" s="40">
      <c r="A1" s="21" t="inlineStr">
        <is>
          <t>https://www.kickstarter.com/projects/thegoddesskey/inner-codes-arcana?ref=discovery_category&amp;total_hits=19939&amp;category_id=273</t>
        </is>
      </c>
    </row>
    <row r="3" ht="13.5" customHeight="1" s="40">
      <c r="A3" s="21" t="inlineStr">
        <is>
          <t>https://www.kickstarter.com/projects/bigcomet/dinkduel?ref=discovery_category&amp;total_hits=19939&amp;category_id=34</t>
        </is>
      </c>
    </row>
    <row r="5" ht="13.5" customHeight="1" s="40">
      <c r="A5" s="21" t="inlineStr">
        <is>
          <t>https://www.kickstarter.com/projects/geoffkern/rambo-ranch?ref=discovery_category&amp;total_hits=19939&amp;category_id=273</t>
        </is>
      </c>
    </row>
    <row r="7" ht="13.5" customHeight="1" s="40">
      <c r="A7" s="21" t="inlineStr">
        <is>
          <t>https://www.kickstarter.com/projects/mintpanda/medieval-madness?ref=discovery_category&amp;total_hits=59982&amp;category_id=34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3" r:id="rId2"/>
    <hyperlink xmlns:r="http://schemas.openxmlformats.org/officeDocument/2006/relationships" ref="A5" r:id="rId3"/>
    <hyperlink xmlns:r="http://schemas.openxmlformats.org/officeDocument/2006/relationships" ref="A7" r:id="rId4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0"/>
    <pageSetUpPr/>
  </sheetPr>
  <dimension ref="A1:C6"/>
  <sheetViews>
    <sheetView zoomScaleNormal="100" workbookViewId="0">
      <selection activeCell="A1" sqref="A1"/>
    </sheetView>
  </sheetViews>
  <sheetFormatPr baseColWidth="10" defaultColWidth="12.6640625" defaultRowHeight="15.75" customHeight="1"/>
  <sheetData>
    <row r="1" ht="15.75" customHeight="1" s="40">
      <c r="A1" s="1" t="inlineStr">
        <is>
          <t># Sold</t>
        </is>
      </c>
      <c r="B1" s="1" t="inlineStr">
        <is>
          <t>Cost</t>
        </is>
      </c>
      <c r="C1" s="1" t="inlineStr">
        <is>
          <t>Total</t>
        </is>
      </c>
    </row>
    <row r="2" ht="15.75" customHeight="1" s="40">
      <c r="A2" s="1" t="n">
        <v>771</v>
      </c>
      <c r="B2" s="1" t="n">
        <v>20</v>
      </c>
      <c r="C2" s="1">
        <f>B2*A2</f>
        <v/>
      </c>
    </row>
    <row r="3" ht="15.75" customHeight="1" s="40">
      <c r="A3" s="1" t="n">
        <v>1751</v>
      </c>
      <c r="B3" s="1" t="n">
        <v>38</v>
      </c>
      <c r="C3" s="1">
        <f>B3*A3</f>
        <v/>
      </c>
    </row>
    <row r="4" ht="15.75" customHeight="1" s="40">
      <c r="C4" s="1">
        <f>SUM(C2:C3)</f>
        <v/>
      </c>
    </row>
    <row r="6" ht="15.75" customHeight="1" s="40">
      <c r="A6" s="1" t="inlineStr">
        <is>
          <t>Average paid per backer</t>
        </is>
      </c>
      <c r="B6" s="2">
        <f>C4/(A3+A2)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2026-02-22T20:50:31Z</dcterms:created>
  <dcterms:modified xmlns:dcterms="http://purl.org/dc/terms/" xmlns:xsi="http://www.w3.org/2001/XMLSchema-instance" xsi:type="dcterms:W3CDTF">2026-02-24T22:52:16Z</dcterms:modified>
  <cp:lastModifiedBy>Drew Grgich Consultant</cp:lastModifiedBy>
  <cp:revision>0</cp:revision>
</cp:coreProperties>
</file>